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ITHUB\WebParqueo\park\Park\"/>
    </mc:Choice>
  </mc:AlternateContent>
  <bookViews>
    <workbookView xWindow="0" yWindow="0" windowWidth="19200" windowHeight="11655" activeTab="1"/>
  </bookViews>
  <sheets>
    <sheet name="Vehiculos" sheetId="1" r:id="rId1"/>
    <sheet name="REGISTROPAGOS" sheetId="5" r:id="rId2"/>
    <sheet name="REGISTROPAGOS 2025" sheetId="8" r:id="rId3"/>
    <sheet name="DETALLE" sheetId="3" r:id="rId4"/>
    <sheet name="motos" sheetId="2" r:id="rId5"/>
    <sheet name="Hoja1" sheetId="4" r:id="rId6"/>
    <sheet name="Hoja4" sheetId="7" r:id="rId7"/>
  </sheets>
  <definedNames>
    <definedName name="DatosExternos_1" localSheetId="6" hidden="1">Hoja4!$A$1:$Q$82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32424e15-f860-4813-bfe5-ebff12eb6981" name="Tabla1" connection="Consulta - Tabla1"/>
        </x15:modelTables>
      </x15:dataModel>
    </ext>
  </extLst>
</workbook>
</file>

<file path=xl/calcChain.xml><?xml version="1.0" encoding="utf-8"?>
<calcChain xmlns="http://schemas.openxmlformats.org/spreadsheetml/2006/main">
  <c r="C15" i="5" l="1"/>
  <c r="C16" i="5"/>
  <c r="C17" i="5"/>
  <c r="C18" i="5"/>
  <c r="C72" i="8"/>
  <c r="C62" i="8"/>
  <c r="C59" i="8"/>
  <c r="C58" i="8"/>
  <c r="C57" i="8"/>
  <c r="C56" i="8"/>
  <c r="C30" i="5" l="1"/>
  <c r="C20" i="5"/>
  <c r="D15" i="2" l="1"/>
  <c r="D16" i="2"/>
  <c r="D17" i="2" s="1"/>
  <c r="I19" i="2"/>
  <c r="I18" i="2"/>
  <c r="I17" i="2"/>
  <c r="Q18" i="3"/>
  <c r="Q19" i="3" s="1"/>
  <c r="Q20" i="3" s="1"/>
  <c r="Q21" i="3" s="1"/>
  <c r="P22" i="3" s="1"/>
  <c r="I16" i="2" l="1"/>
  <c r="I15" i="2"/>
  <c r="D14" i="2"/>
  <c r="D13" i="2"/>
  <c r="Q13" i="3" l="1"/>
  <c r="P13" i="3"/>
  <c r="P10" i="3" l="1"/>
  <c r="P9" i="3"/>
  <c r="Q8" i="3"/>
</calcChain>
</file>

<file path=xl/connections.xml><?xml version="1.0" encoding="utf-8"?>
<connections xmlns="http://schemas.openxmlformats.org/spreadsheetml/2006/main">
  <connection id="1" name="Consulta - Tabla1" description="Conexión a la consulta 'Tabla1' en el libro." type="100" refreshedVersion="6" minRefreshableVersion="5">
    <extLst>
      <ext xmlns:x15="http://schemas.microsoft.com/office/spreadsheetml/2010/11/main" uri="{DE250136-89BD-433C-8126-D09CA5730AF9}">
        <x15:connection id="f1100db5-2c92-4598-aa67-6f5e0faa2b41"/>
      </ext>
    </extLst>
  </connection>
  <connection id="2" keepAlive="1" name="Consulta - Vehiculos" description="Conexión a la consulta 'Vehiculos' en el libro." type="5" refreshedVersion="6" background="1" saveData="1">
    <dbPr connection="Provider=Microsoft.Mashup.OleDb.1;Data Source=$Workbook$;Location=Vehiculos;Extended Properties=&quot;&quot;" command="SELECT * FROM [Vehiculos]"/>
  </connection>
  <connection id="3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<sst xmlns="http://schemas.openxmlformats.org/spreadsheetml/2006/main" count="720" uniqueCount="195">
  <si>
    <t>PLACA</t>
  </si>
  <si>
    <t>1758GXK</t>
  </si>
  <si>
    <t>6 DE CADA MES</t>
  </si>
  <si>
    <t>FECHA</t>
  </si>
  <si>
    <t>DIA DE PAGO</t>
  </si>
  <si>
    <t>MOTO VERDE</t>
  </si>
  <si>
    <t>MOTO CELESTE</t>
  </si>
  <si>
    <t>VEHICULO</t>
  </si>
  <si>
    <t>VAGONETA GUINDA</t>
  </si>
  <si>
    <t>13 DE CADA MES</t>
  </si>
  <si>
    <t>5434NFD</t>
  </si>
  <si>
    <t>MOTO ROJA</t>
  </si>
  <si>
    <t>2361KNA</t>
  </si>
  <si>
    <t>AUTO PLOMO</t>
  </si>
  <si>
    <t>14 DE CADA MES</t>
  </si>
  <si>
    <t>MONTO</t>
  </si>
  <si>
    <t>DEBE</t>
  </si>
  <si>
    <t>OBSERVACIONES</t>
  </si>
  <si>
    <t>DEL ANTERIOR MES DEBE 10</t>
  </si>
  <si>
    <t>DEL ANTERIOR MES DEBE 20</t>
  </si>
  <si>
    <t>CEL</t>
  </si>
  <si>
    <t>-</t>
  </si>
  <si>
    <t>ADELANTO DE JULIO</t>
  </si>
  <si>
    <t>2000 HASTA JUNIO INCLUYE MOTOS</t>
  </si>
  <si>
    <t>ACUMULADO</t>
  </si>
  <si>
    <t>pagado julio</t>
  </si>
  <si>
    <t>ENTRO EL 25-7-28</t>
  </si>
  <si>
    <t>DEBE AGOTO 50 TOTAL 70</t>
  </si>
  <si>
    <t>DEBE AGOSTO 50 TOTAL 60</t>
  </si>
  <si>
    <t>AGOSTO</t>
  </si>
  <si>
    <t>EDWIN MONTECINOS</t>
  </si>
  <si>
    <t>SEPTIEMBRE</t>
  </si>
  <si>
    <t>DEBE AGOSTO 850+150=1000</t>
  </si>
  <si>
    <t>DEBE 1500 NO PAGO DE JULIO 150</t>
  </si>
  <si>
    <t>MAS JULIO 1200+150 = 1350-500=850</t>
  </si>
  <si>
    <t>NO PAGO DE SEPT. 1000+150=1150</t>
  </si>
  <si>
    <t>SIN PLACA HIJO MENOR DE DON EDWIN</t>
  </si>
  <si>
    <t>SIN PLACA HIJO MAYOR DE DON EWDIN</t>
  </si>
  <si>
    <t>DE SEPT. 70+50=120</t>
  </si>
  <si>
    <t>OCTUBRE</t>
  </si>
  <si>
    <t xml:space="preserve">PAGO EN EL </t>
  </si>
  <si>
    <t xml:space="preserve">TRANSCURSO </t>
  </si>
  <si>
    <t>DEL MES DE OCTUBRE</t>
  </si>
  <si>
    <t>PAGO EN MES DE OCTUBRE 50</t>
  </si>
  <si>
    <t>PAGO EN MES OCT. 1150-300=850 MAS NOV 150 =1000</t>
  </si>
  <si>
    <t>no debe</t>
  </si>
  <si>
    <t>SE RETIRA</t>
  </si>
  <si>
    <t>NOV</t>
  </si>
  <si>
    <t>DIC</t>
  </si>
  <si>
    <t>DEBE DE TRES MESES</t>
  </si>
  <si>
    <t xml:space="preserve">debe </t>
  </si>
  <si>
    <t>ERNERO</t>
  </si>
  <si>
    <t>FEBRERO</t>
  </si>
  <si>
    <t>ENERO</t>
  </si>
  <si>
    <t xml:space="preserve">DEBE </t>
  </si>
  <si>
    <t>del mes de marzo</t>
  </si>
  <si>
    <t>Abril</t>
  </si>
  <si>
    <t>debe 300</t>
  </si>
  <si>
    <t>MARZO</t>
  </si>
  <si>
    <t>ABRIL</t>
  </si>
  <si>
    <t>MAYO</t>
  </si>
  <si>
    <t>mayo</t>
  </si>
  <si>
    <t>Junio</t>
  </si>
  <si>
    <t xml:space="preserve">Julio </t>
  </si>
  <si>
    <t>PAGO DE UN MES</t>
  </si>
  <si>
    <t>JUNIO</t>
  </si>
  <si>
    <t>JULIO</t>
  </si>
  <si>
    <t>MOTOS MAL</t>
  </si>
  <si>
    <t>MOTO MAL</t>
  </si>
  <si>
    <t>PAGO DE TRES MESES</t>
  </si>
  <si>
    <t>JULIO EN MECANICO</t>
  </si>
  <si>
    <t>NO PAGO</t>
  </si>
  <si>
    <t>VEHICULO MAL</t>
  </si>
  <si>
    <t>PAGO 200, DEBE 250</t>
  </si>
  <si>
    <t>Vladimir</t>
  </si>
  <si>
    <t>Septiembre</t>
  </si>
  <si>
    <t>Fecha de pago 10 de cada mes</t>
  </si>
  <si>
    <t>Octubre</t>
  </si>
  <si>
    <t>CEL:  72886615</t>
  </si>
  <si>
    <t>250+150 DEBE 400</t>
  </si>
  <si>
    <t>NOVIEMBRE</t>
  </si>
  <si>
    <t>PAGO 140</t>
  </si>
  <si>
    <t>550+150 DEBE 700</t>
  </si>
  <si>
    <t>DICIEMBRE</t>
  </si>
  <si>
    <t>MES</t>
  </si>
  <si>
    <t>CANCELO</t>
  </si>
  <si>
    <t>PAGO MES</t>
  </si>
  <si>
    <t>1150-400 =750 mas 150 del mes =900</t>
  </si>
  <si>
    <t>850+150 =1000 no pago del mes</t>
  </si>
  <si>
    <t>1000+150=1150 no pago del mes</t>
  </si>
  <si>
    <t>2025 pago hasta fin de mes</t>
  </si>
  <si>
    <t>900-300=600 a fecha que cumpla 750 AJUSTADO 550</t>
  </si>
  <si>
    <t xml:space="preserve">ESTADO </t>
  </si>
  <si>
    <t>COLOR</t>
  </si>
  <si>
    <t>GUINDO</t>
  </si>
  <si>
    <t>VAGONETA PEUGOT</t>
  </si>
  <si>
    <t>NOMBRE</t>
  </si>
  <si>
    <t>MARIA ELENA MERCADO</t>
  </si>
  <si>
    <t>INGRESO</t>
  </si>
  <si>
    <t>SALIDA</t>
  </si>
  <si>
    <t>INGRESO PAGA CADA 16</t>
  </si>
  <si>
    <t>ESTADO</t>
  </si>
  <si>
    <t>AUTO NISAN</t>
  </si>
  <si>
    <t>PLOMO</t>
  </si>
  <si>
    <t>CELULAR</t>
  </si>
  <si>
    <t>ANDREA</t>
  </si>
  <si>
    <t>VIGENTE</t>
  </si>
  <si>
    <t>BLANCO</t>
  </si>
  <si>
    <t>INGRESO PAGA CADA 30</t>
  </si>
  <si>
    <t>QUE PAGUEN HASTA 16</t>
  </si>
  <si>
    <t>SALE</t>
  </si>
  <si>
    <t>CODIGO</t>
  </si>
  <si>
    <t>FEXJO544</t>
  </si>
  <si>
    <t>BOESFB245</t>
  </si>
  <si>
    <t>NBSJB515</t>
  </si>
  <si>
    <t>codigo</t>
  </si>
  <si>
    <t>estado</t>
  </si>
  <si>
    <t>nombre</t>
  </si>
  <si>
    <t>vehiculo</t>
  </si>
  <si>
    <t>color</t>
  </si>
  <si>
    <t>marca</t>
  </si>
  <si>
    <t>placa</t>
  </si>
  <si>
    <t>celular</t>
  </si>
  <si>
    <t>fecharegistro</t>
  </si>
  <si>
    <t>hingreso</t>
  </si>
  <si>
    <t>hsalida</t>
  </si>
  <si>
    <t>2358NDY</t>
  </si>
  <si>
    <t>NISAN VAGON</t>
  </si>
  <si>
    <t>MITSUBISHI LANCER WAGON</t>
  </si>
  <si>
    <t>montoapagar</t>
  </si>
  <si>
    <t>PAGO EN FECHA</t>
  </si>
  <si>
    <t>del mes de mayo 150 para mayo son 200</t>
  </si>
  <si>
    <t>FECHAPAGO</t>
  </si>
  <si>
    <t>ANIO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</si>
  <si>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</si>
  <si>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</si>
  <si>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</si>
  <si>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</si>
  <si>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</si>
  <si>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</si>
  <si>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</si>
  <si>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</si>
  <si>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</si>
  <si>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</si>
  <si>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</si>
  <si>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</si>
  <si>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</si>
  <si>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</si>
  <si>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</si>
  <si>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</si>
  <si>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</si>
  <si>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Tiene pendientes desde 2024</t>
  </si>
  <si>
    <t>Para el siguiente mes  arrastra 50</t>
  </si>
  <si>
    <t>DICIMBRE</t>
  </si>
  <si>
    <t>Primer pago</t>
  </si>
  <si>
    <t>EDWIN</t>
  </si>
  <si>
    <t>DIMAR</t>
  </si>
  <si>
    <t xml:space="preserve">MISTUBISHI LANCER </t>
  </si>
  <si>
    <t>VAGONETA BLANCO</t>
  </si>
  <si>
    <t>1 DE CADA MES</t>
  </si>
  <si>
    <t>TIPOVEHICULO</t>
  </si>
  <si>
    <t>PROPIETARIO</t>
  </si>
  <si>
    <t>6262IXG</t>
  </si>
  <si>
    <t>PRIMER MES</t>
  </si>
  <si>
    <t>TOYOTA CALDINA</t>
  </si>
  <si>
    <t xml:space="preserve">20BS ALQUILER 2 DÍAS </t>
  </si>
  <si>
    <t>20 BS ALQUILER 2 DIAS</t>
  </si>
  <si>
    <t xml:space="preserve">30BS ALQUILER 2 DÍAS </t>
  </si>
  <si>
    <t>30 BS ALQUILER 2 DIAS</t>
  </si>
  <si>
    <t>DEBE 450 DE TRES MESES</t>
  </si>
  <si>
    <t xml:space="preserve">NO PAGO </t>
  </si>
  <si>
    <t>GUARDA MOTO DE ALEJANDRO</t>
  </si>
  <si>
    <t>GUINDA</t>
  </si>
  <si>
    <t>2235ICI</t>
  </si>
  <si>
    <t>DELMIRA ORTEGA</t>
  </si>
  <si>
    <t>PAGO ADELANTADO</t>
  </si>
  <si>
    <t>MOTONETA</t>
  </si>
  <si>
    <t>5 de cada mes</t>
  </si>
  <si>
    <t>debe 250</t>
  </si>
  <si>
    <t>mas 150</t>
  </si>
  <si>
    <t>Debe 250 +150 octubre</t>
  </si>
  <si>
    <t>MESES IRREGULARES</t>
  </si>
  <si>
    <t>NIVELADO</t>
  </si>
  <si>
    <t>10BS DE UN DIA MÁS</t>
  </si>
  <si>
    <t>VAGONETA SUZUKI</t>
  </si>
  <si>
    <t>EFRAIN</t>
  </si>
  <si>
    <t>16 DE CADA MES</t>
  </si>
  <si>
    <t>3628SKD</t>
  </si>
  <si>
    <t>ADELANTO</t>
  </si>
  <si>
    <t>SE RETIRA DEBE LLAVE</t>
  </si>
  <si>
    <t>NO PAGO MOTOS DESDE ENE 200 BS, TOTAL 850</t>
  </si>
  <si>
    <t>DE JUNIO Y JULIO</t>
  </si>
  <si>
    <t>MAS MOTOCICLETA 50+350</t>
  </si>
  <si>
    <t>MAS MOTOCICLETA 150+50+400</t>
  </si>
  <si>
    <t>MAS MOTOCICLETA 150+50+600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</si>
</sst>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  <xf numFmtId="0" fontId="1" fillId="7" borderId="0" xfId="0" applyFont="1" applyFill="1"/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quotePrefix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7" borderId="0" xfId="0" applyFill="1"/>
    <xf numFmtId="0" fontId="0" fillId="0" borderId="0" xfId="0" applyFill="1"/>
    <xf numFmtId="0" fontId="0" fillId="11" borderId="0" xfId="0" applyFill="1"/>
    <xf numFmtId="0" fontId="0" fillId="11" borderId="1" xfId="0" applyFill="1" applyBorder="1" applyAlignment="1">
      <alignment vertical="center"/>
    </xf>
    <xf numFmtId="0" fontId="0" fillId="11" borderId="0" xfId="0" applyFill="1" applyBorder="1" applyAlignment="1">
      <alignment vertical="center"/>
    </xf>
    <xf numFmtId="0" fontId="0" fillId="11" borderId="0" xfId="0" applyFill="1" applyAlignment="1">
      <alignment horizontal="right"/>
    </xf>
    <xf numFmtId="20" fontId="0" fillId="11" borderId="0" xfId="0" applyNumberFormat="1" applyFill="1"/>
    <xf numFmtId="0" fontId="0" fillId="11" borderId="1" xfId="0" applyFill="1" applyBorder="1" applyAlignment="1">
      <alignment horizontal="center" vertical="center"/>
    </xf>
    <xf numFmtId="0" fontId="0" fillId="2" borderId="0" xfId="0" applyFill="1"/>
    <xf numFmtId="20" fontId="0" fillId="0" borderId="0" xfId="0" applyNumberFormat="1"/>
    <xf numFmtId="0" fontId="0" fillId="0" borderId="1" xfId="0" applyFill="1" applyBorder="1"/>
    <xf numFmtId="0" fontId="4" fillId="0" borderId="0" xfId="0" applyFont="1" applyFill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1" xfId="0" applyNumberFormat="1" applyBorder="1"/>
    <xf numFmtId="0" fontId="0" fillId="0" borderId="0" xfId="0" applyNumberFormat="1"/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5" fillId="0" borderId="5" xfId="0" applyFont="1" applyFill="1" applyBorder="1" applyAlignment="1">
      <alignment vertical="center"/>
    </xf>
    <xf numFmtId="0" fontId="0" fillId="0" borderId="0" xfId="0" applyNumberFormat="1" applyAlignment="1">
      <alignment horizontal="center"/>
    </xf>
    <xf numFmtId="14" fontId="0" fillId="0" borderId="7" xfId="0" applyNumberFormat="1" applyFont="1" applyBorder="1"/>
    <xf numFmtId="0" fontId="0" fillId="0" borderId="6" xfId="0" applyFont="1" applyBorder="1"/>
    <xf numFmtId="14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0" xfId="0" applyFill="1"/>
    <xf numFmtId="0" fontId="5" fillId="0" borderId="8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21">
    <dxf>
      <numFmt numFmtId="0" formatCode="General"/>
      <alignment horizontal="center" vertical="bottom" textRotation="0" wrapText="0" indent="0" justifyLastLine="0" shrinkToFit="0" readingOrder="0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18">
    <queryTableFields count="17">
      <queryTableField id="1" name="Column1" tableColumnId="35"/>
      <queryTableField id="2" name="Column2" tableColumnId="36"/>
      <queryTableField id="3" name="Column3" tableColumnId="37"/>
      <queryTableField id="4" name="Column4" tableColumnId="38"/>
      <queryTableField id="5" name="Column5" tableColumnId="39"/>
      <queryTableField id="6" name="Column6" tableColumnId="40"/>
      <queryTableField id="7" name="Column7" tableColumnId="41"/>
      <queryTableField id="8" name="Column8" tableColumnId="42"/>
      <queryTableField id="9" name="Column9" tableColumnId="43"/>
      <queryTableField id="10" name="Column10" tableColumnId="44"/>
      <queryTableField id="11" name="Column11" tableColumnId="45"/>
      <queryTableField id="12" name="Column12" tableColumnId="46"/>
      <queryTableField id="13" name="Column13" tableColumnId="47"/>
      <queryTableField id="14" name="Column14" tableColumnId="48"/>
      <queryTableField id="15" name="Column15" tableColumnId="49"/>
      <queryTableField id="16" name="Column16" tableColumnId="50"/>
      <queryTableField id="17" name="Column17" tableColumnId="5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1" displayName="Tabla1" ref="A1:G30" totalsRowShown="0">
  <autoFilter ref="A1:G30"/>
  <tableColumns count="7">
    <tableColumn id="1" name="PLACA"/>
    <tableColumn id="2" name="FECHAPAGO" dataDxfId="20">
      <calculatedColumnFormula>DETALLE!H29</calculatedColumnFormula>
    </tableColumn>
    <tableColumn id="3" name="MONTO" dataDxfId="19">
      <calculatedColumnFormula>DETALLE!I29</calculatedColumnFormula>
    </tableColumn>
    <tableColumn id="4" name="NO PAGO"/>
    <tableColumn id="5" name="MES"/>
    <tableColumn id="8" name="OBSERVACIONES"/>
    <tableColumn id="6" name="AN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:G72" totalsRowShown="0">
  <autoFilter ref="A1:G72"/>
  <tableColumns count="7">
    <tableColumn id="1" name="PLACA"/>
    <tableColumn id="2" name="FECHAPAGO" dataDxfId="1">
      <calculatedColumnFormula>DETALLE!H29</calculatedColumnFormula>
    </tableColumn>
    <tableColumn id="3" name="MONTO" dataDxfId="0">
      <calculatedColumnFormula>DETALLE!I29</calculatedColumnFormula>
    </tableColumn>
    <tableColumn id="4" name="NO PAGO"/>
    <tableColumn id="5" name="MES"/>
    <tableColumn id="8" name="OBSERVACIONES"/>
    <tableColumn id="6" name="AN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hiculos" displayName="Vehiculos" ref="A1:Q82" tableType="queryTable" totalsRowShown="0">
  <autoFilter ref="A1:Q82">
    <filterColumn colId="0">
      <filters>
        <filter val="PLACA"/>
      </filters>
    </filterColumn>
  </autoFilter>
  <tableColumns count="17">
    <tableColumn id="35" uniqueName="35" name="Column1" queryTableFieldId="1" dataDxfId="18"/>
    <tableColumn id="36" uniqueName="36" name="Column2" queryTableFieldId="2" dataDxfId="17"/>
    <tableColumn id="37" uniqueName="37" name="Column3" queryTableFieldId="3" dataDxfId="16"/>
    <tableColumn id="38" uniqueName="38" name="Column4" queryTableFieldId="4" dataDxfId="15"/>
    <tableColumn id="39" uniqueName="39" name="Column5" queryTableFieldId="5" dataDxfId="14"/>
    <tableColumn id="40" uniqueName="40" name="Column6" queryTableFieldId="6" dataDxfId="13"/>
    <tableColumn id="41" uniqueName="41" name="Column7" queryTableFieldId="7" dataDxfId="12"/>
    <tableColumn id="42" uniqueName="42" name="Column8" queryTableFieldId="8" dataDxfId="11"/>
    <tableColumn id="43" uniqueName="43" name="Column9" queryTableFieldId="9" dataDxfId="10"/>
    <tableColumn id="44" uniqueName="44" name="Column10" queryTableFieldId="10" dataDxfId="9"/>
    <tableColumn id="45" uniqueName="45" name="Column11" queryTableFieldId="11" dataDxfId="8"/>
    <tableColumn id="46" uniqueName="46" name="Column12" queryTableFieldId="12" dataDxfId="7"/>
    <tableColumn id="47" uniqueName="47" name="Column13" queryTableFieldId="13" dataDxfId="6"/>
    <tableColumn id="48" uniqueName="48" name="Column14" queryTableFieldId="14" dataDxfId="5"/>
    <tableColumn id="49" uniqueName="49" name="Column15" queryTableFieldId="15" dataDxfId="4"/>
    <tableColumn id="50" uniqueName="50" name="Column16" queryTableFieldId="16" dataDxfId="3"/>
    <tableColumn id="51" uniqueName="51" name="Column17" queryTableFieldId="1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="145" zoomScaleNormal="145" workbookViewId="0">
      <selection activeCell="A4" sqref="A4"/>
    </sheetView>
  </sheetViews>
  <sheetFormatPr baseColWidth="10" defaultRowHeight="15" x14ac:dyDescent="0.25"/>
  <cols>
    <col min="1" max="1" width="14" style="1" customWidth="1"/>
    <col min="2" max="2" width="26" customWidth="1"/>
    <col min="3" max="3" width="20.140625" customWidth="1"/>
    <col min="4" max="4" width="11.7109375" style="1" customWidth="1"/>
    <col min="5" max="5" width="16.85546875" style="1" customWidth="1"/>
    <col min="6" max="6" width="21.85546875" style="1" customWidth="1"/>
    <col min="7" max="7" width="20" customWidth="1"/>
  </cols>
  <sheetData>
    <row r="1" spans="1:7" x14ac:dyDescent="0.25">
      <c r="A1" s="46" t="s">
        <v>0</v>
      </c>
      <c r="B1" s="46" t="s">
        <v>160</v>
      </c>
      <c r="C1" s="46" t="s">
        <v>161</v>
      </c>
      <c r="D1" s="46" t="s">
        <v>3</v>
      </c>
      <c r="E1" s="46" t="s">
        <v>4</v>
      </c>
      <c r="F1" s="46" t="s">
        <v>93</v>
      </c>
      <c r="G1" s="46" t="s">
        <v>15</v>
      </c>
    </row>
    <row r="2" spans="1:7" x14ac:dyDescent="0.25">
      <c r="A2" s="47" t="s">
        <v>162</v>
      </c>
      <c r="B2" s="47" t="s">
        <v>95</v>
      </c>
      <c r="C2" s="50" t="s">
        <v>97</v>
      </c>
      <c r="D2" s="49">
        <v>45151</v>
      </c>
      <c r="E2" s="50" t="s">
        <v>9</v>
      </c>
      <c r="F2" s="48" t="s">
        <v>8</v>
      </c>
      <c r="G2" s="48">
        <v>150</v>
      </c>
    </row>
    <row r="3" spans="1:7" x14ac:dyDescent="0.25">
      <c r="A3" s="61" t="s">
        <v>12</v>
      </c>
      <c r="B3" s="61" t="s">
        <v>102</v>
      </c>
      <c r="C3" s="62" t="s">
        <v>105</v>
      </c>
      <c r="D3" s="63">
        <v>45152</v>
      </c>
      <c r="E3" s="62" t="s">
        <v>14</v>
      </c>
      <c r="F3" s="64" t="s">
        <v>13</v>
      </c>
      <c r="G3" s="64">
        <v>150</v>
      </c>
    </row>
    <row r="4" spans="1:7" x14ac:dyDescent="0.25">
      <c r="A4" s="47" t="s">
        <v>1</v>
      </c>
      <c r="B4" s="47" t="s">
        <v>164</v>
      </c>
      <c r="C4" s="50" t="s">
        <v>155</v>
      </c>
      <c r="D4" s="49">
        <v>45144</v>
      </c>
      <c r="E4" s="50" t="s">
        <v>2</v>
      </c>
      <c r="F4" s="48" t="s">
        <v>8</v>
      </c>
      <c r="G4" s="48">
        <v>150</v>
      </c>
    </row>
    <row r="5" spans="1:7" x14ac:dyDescent="0.25">
      <c r="A5" s="1" t="s">
        <v>126</v>
      </c>
      <c r="B5" s="51" t="s">
        <v>157</v>
      </c>
      <c r="C5" s="1" t="s">
        <v>156</v>
      </c>
      <c r="D5" s="52">
        <v>45746</v>
      </c>
      <c r="E5" s="1" t="s">
        <v>159</v>
      </c>
      <c r="F5" t="s">
        <v>158</v>
      </c>
      <c r="G5" s="53">
        <v>150</v>
      </c>
    </row>
    <row r="6" spans="1:7" x14ac:dyDescent="0.25">
      <c r="A6" s="1" t="s">
        <v>173</v>
      </c>
      <c r="B6" s="51" t="s">
        <v>176</v>
      </c>
      <c r="C6" s="60" t="s">
        <v>174</v>
      </c>
      <c r="D6" s="52">
        <v>45935</v>
      </c>
      <c r="E6" s="1" t="s">
        <v>177</v>
      </c>
      <c r="F6" s="1" t="s">
        <v>94</v>
      </c>
      <c r="G6" s="53">
        <v>60</v>
      </c>
    </row>
    <row r="7" spans="1:7" x14ac:dyDescent="0.25">
      <c r="A7" s="1" t="s">
        <v>187</v>
      </c>
      <c r="B7" s="51" t="s">
        <v>184</v>
      </c>
      <c r="C7" s="60" t="s">
        <v>185</v>
      </c>
      <c r="D7" s="52">
        <v>46069</v>
      </c>
      <c r="E7" s="52" t="s">
        <v>186</v>
      </c>
      <c r="F7" s="1" t="s">
        <v>94</v>
      </c>
      <c r="G7" s="53">
        <v>180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I16" sqref="I16"/>
    </sheetView>
  </sheetViews>
  <sheetFormatPr baseColWidth="10" defaultRowHeight="15" x14ac:dyDescent="0.25"/>
  <cols>
    <col min="1" max="2" width="12" customWidth="1"/>
    <col min="3" max="3" width="12" style="1" customWidth="1"/>
    <col min="4" max="4" width="15.5703125" style="1" customWidth="1"/>
    <col min="5" max="5" width="12" customWidth="1"/>
    <col min="6" max="6" width="34.5703125" customWidth="1"/>
    <col min="7" max="7" width="12" customWidth="1"/>
  </cols>
  <sheetData>
    <row r="1" spans="1:7" x14ac:dyDescent="0.25">
      <c r="A1" t="s">
        <v>0</v>
      </c>
      <c r="B1" t="s">
        <v>132</v>
      </c>
      <c r="C1" s="1" t="s">
        <v>15</v>
      </c>
      <c r="D1" s="1" t="s">
        <v>71</v>
      </c>
      <c r="E1" t="s">
        <v>84</v>
      </c>
      <c r="F1" t="s">
        <v>17</v>
      </c>
      <c r="G1" t="s">
        <v>133</v>
      </c>
    </row>
    <row r="2" spans="1:7" x14ac:dyDescent="0.25">
      <c r="A2" t="s">
        <v>126</v>
      </c>
      <c r="B2" s="41">
        <v>46030</v>
      </c>
      <c r="C2" s="54">
        <v>150</v>
      </c>
      <c r="D2" s="1">
        <v>0</v>
      </c>
      <c r="E2" t="s">
        <v>53</v>
      </c>
      <c r="G2">
        <v>2026</v>
      </c>
    </row>
    <row r="3" spans="1:7" x14ac:dyDescent="0.25">
      <c r="A3" t="s">
        <v>173</v>
      </c>
      <c r="B3" s="41">
        <v>46048</v>
      </c>
      <c r="C3" s="54">
        <v>60</v>
      </c>
      <c r="D3" s="1">
        <v>0</v>
      </c>
      <c r="E3" t="s">
        <v>53</v>
      </c>
      <c r="G3">
        <v>2026</v>
      </c>
    </row>
    <row r="4" spans="1:7" x14ac:dyDescent="0.25">
      <c r="A4" t="s">
        <v>126</v>
      </c>
      <c r="B4" s="41">
        <v>46055</v>
      </c>
      <c r="C4" s="54">
        <v>150</v>
      </c>
      <c r="D4" s="1">
        <v>0</v>
      </c>
      <c r="E4" t="s">
        <v>52</v>
      </c>
      <c r="G4">
        <v>2026</v>
      </c>
    </row>
    <row r="5" spans="1:7" x14ac:dyDescent="0.25">
      <c r="A5" t="s">
        <v>162</v>
      </c>
      <c r="B5" s="41">
        <v>46025</v>
      </c>
      <c r="C5" s="54">
        <v>160</v>
      </c>
      <c r="D5" s="1">
        <v>0</v>
      </c>
      <c r="E5" t="s">
        <v>53</v>
      </c>
      <c r="G5">
        <v>2026</v>
      </c>
    </row>
    <row r="6" spans="1:7" x14ac:dyDescent="0.25">
      <c r="A6" t="s">
        <v>187</v>
      </c>
      <c r="B6" s="41">
        <v>46069</v>
      </c>
      <c r="C6" s="54">
        <v>180</v>
      </c>
      <c r="D6" s="1">
        <v>0</v>
      </c>
      <c r="E6" t="s">
        <v>52</v>
      </c>
      <c r="F6" t="s">
        <v>188</v>
      </c>
      <c r="G6">
        <v>2026</v>
      </c>
    </row>
    <row r="7" spans="1:7" x14ac:dyDescent="0.25">
      <c r="A7" t="s">
        <v>12</v>
      </c>
      <c r="B7" s="41">
        <v>46036</v>
      </c>
      <c r="C7" s="54">
        <v>150</v>
      </c>
      <c r="D7" s="1">
        <v>0</v>
      </c>
      <c r="E7" t="s">
        <v>53</v>
      </c>
      <c r="G7">
        <v>2026</v>
      </c>
    </row>
    <row r="8" spans="1:7" x14ac:dyDescent="0.25">
      <c r="A8" t="s">
        <v>12</v>
      </c>
      <c r="B8" s="41">
        <v>46065</v>
      </c>
      <c r="C8" s="54">
        <v>55</v>
      </c>
      <c r="D8" s="1">
        <v>0</v>
      </c>
      <c r="E8" t="s">
        <v>52</v>
      </c>
      <c r="F8" t="s">
        <v>189</v>
      </c>
      <c r="G8">
        <v>2026</v>
      </c>
    </row>
    <row r="9" spans="1:7" x14ac:dyDescent="0.25">
      <c r="A9" t="s">
        <v>162</v>
      </c>
      <c r="B9" s="41">
        <v>46059</v>
      </c>
      <c r="C9" s="54">
        <v>150</v>
      </c>
      <c r="D9" s="1">
        <v>0</v>
      </c>
      <c r="E9" t="s">
        <v>52</v>
      </c>
      <c r="G9">
        <v>2026</v>
      </c>
    </row>
    <row r="10" spans="1:7" x14ac:dyDescent="0.25">
      <c r="A10" t="s">
        <v>126</v>
      </c>
      <c r="B10" s="41">
        <v>46086</v>
      </c>
      <c r="C10" s="54">
        <v>150</v>
      </c>
      <c r="D10" s="1">
        <v>0</v>
      </c>
      <c r="E10" t="s">
        <v>58</v>
      </c>
      <c r="G10">
        <v>2026</v>
      </c>
    </row>
    <row r="11" spans="1:7" x14ac:dyDescent="0.25">
      <c r="A11" t="s">
        <v>162</v>
      </c>
      <c r="B11" s="41">
        <v>46099</v>
      </c>
      <c r="C11" s="54">
        <v>150</v>
      </c>
      <c r="D11" s="1">
        <v>0</v>
      </c>
      <c r="E11" t="s">
        <v>58</v>
      </c>
      <c r="G11">
        <v>2026</v>
      </c>
    </row>
    <row r="12" spans="1:7" x14ac:dyDescent="0.25">
      <c r="A12" t="s">
        <v>173</v>
      </c>
      <c r="B12" s="41">
        <v>46066</v>
      </c>
      <c r="C12" s="54">
        <v>60</v>
      </c>
      <c r="D12" s="1">
        <v>0</v>
      </c>
      <c r="E12" t="s">
        <v>52</v>
      </c>
      <c r="G12">
        <v>2026</v>
      </c>
    </row>
    <row r="13" spans="1:7" x14ac:dyDescent="0.25">
      <c r="A13" t="s">
        <v>173</v>
      </c>
      <c r="B13" s="41">
        <v>46095</v>
      </c>
      <c r="C13" s="54">
        <v>60</v>
      </c>
      <c r="D13" s="1">
        <v>0</v>
      </c>
      <c r="E13" t="s">
        <v>58</v>
      </c>
      <c r="G13">
        <v>2026</v>
      </c>
    </row>
    <row r="14" spans="1:7" x14ac:dyDescent="0.25">
      <c r="A14" s="41" t="s">
        <v>1</v>
      </c>
      <c r="B14" s="41">
        <v>46001</v>
      </c>
      <c r="C14" s="54">
        <v>0</v>
      </c>
      <c r="D14" s="1">
        <v>150</v>
      </c>
      <c r="E14" t="s">
        <v>83</v>
      </c>
      <c r="F14" t="s">
        <v>71</v>
      </c>
      <c r="G14">
        <v>2025</v>
      </c>
    </row>
    <row r="15" spans="1:7" x14ac:dyDescent="0.25">
      <c r="A15" s="41" t="s">
        <v>1</v>
      </c>
      <c r="B15" s="41">
        <v>46032</v>
      </c>
      <c r="C15" s="54">
        <f>DETALLE!I83</f>
        <v>0</v>
      </c>
      <c r="D15" s="1">
        <v>300</v>
      </c>
      <c r="E15" t="s">
        <v>53</v>
      </c>
      <c r="F15" t="s">
        <v>71</v>
      </c>
      <c r="G15">
        <v>2026</v>
      </c>
    </row>
    <row r="16" spans="1:7" x14ac:dyDescent="0.25">
      <c r="A16" s="41" t="s">
        <v>1</v>
      </c>
      <c r="B16" s="41">
        <v>46063</v>
      </c>
      <c r="C16" s="54">
        <f>DETALLE!I84</f>
        <v>0</v>
      </c>
      <c r="D16" s="1">
        <v>450</v>
      </c>
      <c r="E16" t="s">
        <v>52</v>
      </c>
      <c r="F16" t="s">
        <v>71</v>
      </c>
      <c r="G16">
        <v>2026</v>
      </c>
    </row>
    <row r="17" spans="1:7" x14ac:dyDescent="0.25">
      <c r="A17" s="41" t="s">
        <v>1</v>
      </c>
      <c r="B17" s="41">
        <v>42439</v>
      </c>
      <c r="C17" s="54">
        <f>DETALLE!I85</f>
        <v>0</v>
      </c>
      <c r="D17" s="1">
        <v>500</v>
      </c>
      <c r="E17" t="s">
        <v>58</v>
      </c>
      <c r="F17" t="s">
        <v>71</v>
      </c>
      <c r="G17">
        <v>2026</v>
      </c>
    </row>
    <row r="18" spans="1:7" x14ac:dyDescent="0.25">
      <c r="A18" s="41" t="s">
        <v>1</v>
      </c>
      <c r="B18" s="41">
        <v>46122</v>
      </c>
      <c r="C18" s="54">
        <f>DETALLE!I86</f>
        <v>0</v>
      </c>
      <c r="D18" s="1">
        <v>650</v>
      </c>
      <c r="E18" t="s">
        <v>59</v>
      </c>
      <c r="F18" t="s">
        <v>190</v>
      </c>
      <c r="G18">
        <v>2026</v>
      </c>
    </row>
    <row r="19" spans="1:7" x14ac:dyDescent="0.25">
      <c r="A19" t="s">
        <v>162</v>
      </c>
      <c r="B19" s="41">
        <v>46136</v>
      </c>
      <c r="C19" s="54">
        <v>150</v>
      </c>
      <c r="D19" s="1">
        <v>0</v>
      </c>
      <c r="E19" t="s">
        <v>59</v>
      </c>
      <c r="G19">
        <v>2026</v>
      </c>
    </row>
    <row r="20" spans="1:7" x14ac:dyDescent="0.25">
      <c r="A20" t="s">
        <v>162</v>
      </c>
      <c r="B20" s="41">
        <v>46143</v>
      </c>
      <c r="C20" s="54">
        <f>DETALLE!I89</f>
        <v>0</v>
      </c>
      <c r="D20" s="1">
        <v>150</v>
      </c>
      <c r="E20" t="s">
        <v>60</v>
      </c>
      <c r="G20">
        <v>2026</v>
      </c>
    </row>
    <row r="21" spans="1:7" x14ac:dyDescent="0.25">
      <c r="A21" t="s">
        <v>162</v>
      </c>
      <c r="B21" s="41">
        <v>46176</v>
      </c>
      <c r="C21" s="54">
        <v>150</v>
      </c>
      <c r="D21" s="1">
        <v>150</v>
      </c>
      <c r="E21" t="s">
        <v>65</v>
      </c>
      <c r="G21">
        <v>2026</v>
      </c>
    </row>
    <row r="22" spans="1:7" x14ac:dyDescent="0.25">
      <c r="A22" t="s">
        <v>126</v>
      </c>
      <c r="B22" s="41">
        <v>46118</v>
      </c>
      <c r="C22" s="54">
        <v>150</v>
      </c>
      <c r="D22" s="1">
        <v>0</v>
      </c>
      <c r="E22" t="s">
        <v>59</v>
      </c>
      <c r="G22">
        <v>2026</v>
      </c>
    </row>
    <row r="23" spans="1:7" x14ac:dyDescent="0.25">
      <c r="A23" t="s">
        <v>126</v>
      </c>
      <c r="B23" s="41">
        <v>46150</v>
      </c>
      <c r="C23" s="54">
        <v>150</v>
      </c>
      <c r="D23" s="1">
        <v>0</v>
      </c>
      <c r="E23" t="s">
        <v>60</v>
      </c>
      <c r="G23">
        <v>2026</v>
      </c>
    </row>
    <row r="24" spans="1:7" x14ac:dyDescent="0.25">
      <c r="A24" t="s">
        <v>126</v>
      </c>
      <c r="B24" s="41">
        <v>46023</v>
      </c>
      <c r="C24" s="54">
        <v>150</v>
      </c>
      <c r="D24" s="1">
        <v>0</v>
      </c>
      <c r="E24" t="s">
        <v>65</v>
      </c>
      <c r="G24">
        <v>2026</v>
      </c>
    </row>
    <row r="25" spans="1:7" x14ac:dyDescent="0.25">
      <c r="A25" t="s">
        <v>173</v>
      </c>
      <c r="B25" s="41">
        <v>46144</v>
      </c>
      <c r="C25" s="54">
        <v>60</v>
      </c>
      <c r="D25" s="1">
        <v>0</v>
      </c>
      <c r="E25" t="s">
        <v>60</v>
      </c>
      <c r="G25">
        <v>2026</v>
      </c>
    </row>
    <row r="26" spans="1:7" x14ac:dyDescent="0.25">
      <c r="A26" t="s">
        <v>173</v>
      </c>
      <c r="B26" s="41">
        <v>46177</v>
      </c>
      <c r="C26" s="54">
        <v>60</v>
      </c>
      <c r="D26" s="1">
        <v>0</v>
      </c>
      <c r="E26" t="s">
        <v>65</v>
      </c>
      <c r="G26">
        <v>2026</v>
      </c>
    </row>
    <row r="27" spans="1:7" x14ac:dyDescent="0.25">
      <c r="A27" t="s">
        <v>173</v>
      </c>
      <c r="B27" s="41">
        <v>46207</v>
      </c>
      <c r="C27" s="54">
        <v>60</v>
      </c>
      <c r="D27" s="1">
        <v>0</v>
      </c>
      <c r="E27" t="s">
        <v>66</v>
      </c>
      <c r="F27" t="s">
        <v>191</v>
      </c>
      <c r="G27">
        <v>2026</v>
      </c>
    </row>
    <row r="28" spans="1:7" x14ac:dyDescent="0.25">
      <c r="A28" s="41" t="s">
        <v>1</v>
      </c>
      <c r="B28" s="41">
        <v>46144</v>
      </c>
      <c r="C28" s="54">
        <v>300</v>
      </c>
      <c r="D28" s="1">
        <v>400</v>
      </c>
      <c r="E28" t="s">
        <v>60</v>
      </c>
      <c r="F28" t="s">
        <v>192</v>
      </c>
      <c r="G28">
        <v>2026</v>
      </c>
    </row>
    <row r="29" spans="1:7" x14ac:dyDescent="0.25">
      <c r="A29" s="41" t="s">
        <v>1</v>
      </c>
      <c r="B29" s="41">
        <v>46183</v>
      </c>
      <c r="C29" s="54">
        <v>0</v>
      </c>
      <c r="D29" s="1">
        <v>600</v>
      </c>
      <c r="E29" t="s">
        <v>65</v>
      </c>
      <c r="F29" t="s">
        <v>193</v>
      </c>
      <c r="G29">
        <v>2026</v>
      </c>
    </row>
    <row r="30" spans="1:7" x14ac:dyDescent="0.25">
      <c r="A30" s="41" t="s">
        <v>1</v>
      </c>
      <c r="B30" s="41">
        <v>46213</v>
      </c>
      <c r="C30" s="54">
        <f>DETALLE!I99</f>
        <v>0</v>
      </c>
      <c r="D30" s="1">
        <v>800</v>
      </c>
      <c r="E30" t="s">
        <v>66</v>
      </c>
      <c r="F30" t="s">
        <v>194</v>
      </c>
      <c r="G30">
        <v>2026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opLeftCell="A37" workbookViewId="0">
      <selection activeCell="D60" sqref="D60"/>
    </sheetView>
  </sheetViews>
  <sheetFormatPr baseColWidth="10" defaultRowHeight="15" x14ac:dyDescent="0.25"/>
  <cols>
    <col min="1" max="2" width="12" customWidth="1"/>
    <col min="3" max="3" width="12" style="1" customWidth="1"/>
    <col min="4" max="4" width="15.5703125" style="1" customWidth="1"/>
    <col min="5" max="5" width="12" customWidth="1"/>
    <col min="6" max="6" width="34.5703125" customWidth="1"/>
    <col min="7" max="7" width="12" customWidth="1"/>
  </cols>
  <sheetData>
    <row r="1" spans="1:7" x14ac:dyDescent="0.25">
      <c r="A1" t="s">
        <v>0</v>
      </c>
      <c r="B1" t="s">
        <v>132</v>
      </c>
      <c r="C1" s="1" t="s">
        <v>15</v>
      </c>
      <c r="D1" s="1" t="s">
        <v>71</v>
      </c>
      <c r="E1" t="s">
        <v>84</v>
      </c>
      <c r="F1" t="s">
        <v>17</v>
      </c>
      <c r="G1" t="s">
        <v>133</v>
      </c>
    </row>
    <row r="2" spans="1:7" x14ac:dyDescent="0.25">
      <c r="A2" t="s">
        <v>12</v>
      </c>
      <c r="B2" s="44">
        <v>45675</v>
      </c>
      <c r="C2" s="1">
        <v>150</v>
      </c>
      <c r="D2" s="1">
        <v>0</v>
      </c>
      <c r="E2" t="s">
        <v>53</v>
      </c>
      <c r="G2">
        <v>2025</v>
      </c>
    </row>
    <row r="3" spans="1:7" x14ac:dyDescent="0.25">
      <c r="A3" t="s">
        <v>12</v>
      </c>
      <c r="B3" s="44">
        <v>45701</v>
      </c>
      <c r="C3" s="1">
        <v>150</v>
      </c>
      <c r="D3" s="1">
        <v>0</v>
      </c>
      <c r="E3" t="s">
        <v>52</v>
      </c>
      <c r="G3">
        <v>2025</v>
      </c>
    </row>
    <row r="4" spans="1:7" x14ac:dyDescent="0.25">
      <c r="A4" t="s">
        <v>12</v>
      </c>
      <c r="B4" s="44">
        <v>45726</v>
      </c>
      <c r="C4" s="1">
        <v>150</v>
      </c>
      <c r="D4" s="1">
        <v>0</v>
      </c>
      <c r="E4" t="s">
        <v>58</v>
      </c>
      <c r="G4">
        <v>2025</v>
      </c>
    </row>
    <row r="5" spans="1:7" x14ac:dyDescent="0.25">
      <c r="A5" t="s">
        <v>12</v>
      </c>
      <c r="B5" s="44">
        <v>45762</v>
      </c>
      <c r="C5" s="1">
        <v>150</v>
      </c>
      <c r="D5" s="1">
        <v>0</v>
      </c>
      <c r="E5" t="s">
        <v>59</v>
      </c>
      <c r="G5">
        <v>2025</v>
      </c>
    </row>
    <row r="6" spans="1:7" x14ac:dyDescent="0.25">
      <c r="A6" t="s">
        <v>162</v>
      </c>
      <c r="B6" s="41">
        <v>45763</v>
      </c>
      <c r="C6" s="1">
        <v>0</v>
      </c>
      <c r="D6">
        <v>0</v>
      </c>
      <c r="E6" t="s">
        <v>59</v>
      </c>
      <c r="F6" t="s">
        <v>98</v>
      </c>
      <c r="G6">
        <v>2025</v>
      </c>
    </row>
    <row r="7" spans="1:7" x14ac:dyDescent="0.25">
      <c r="A7" s="41" t="s">
        <v>1</v>
      </c>
      <c r="B7" s="41">
        <v>45667</v>
      </c>
      <c r="C7" s="45">
        <v>0</v>
      </c>
      <c r="D7">
        <v>1000</v>
      </c>
      <c r="E7" t="s">
        <v>153</v>
      </c>
      <c r="F7" t="s">
        <v>151</v>
      </c>
      <c r="G7">
        <v>2025</v>
      </c>
    </row>
    <row r="8" spans="1:7" x14ac:dyDescent="0.25">
      <c r="A8" s="41" t="s">
        <v>1</v>
      </c>
      <c r="B8" s="41">
        <v>45698</v>
      </c>
      <c r="C8" s="45">
        <v>0</v>
      </c>
      <c r="D8">
        <v>1150</v>
      </c>
      <c r="E8" t="s">
        <v>53</v>
      </c>
      <c r="G8">
        <v>2025</v>
      </c>
    </row>
    <row r="9" spans="1:7" x14ac:dyDescent="0.25">
      <c r="A9" s="41" t="s">
        <v>1</v>
      </c>
      <c r="B9" s="41">
        <v>45726</v>
      </c>
      <c r="C9" s="45">
        <v>400</v>
      </c>
      <c r="D9">
        <v>900</v>
      </c>
      <c r="E9" t="s">
        <v>52</v>
      </c>
      <c r="G9">
        <v>2025</v>
      </c>
    </row>
    <row r="10" spans="1:7" x14ac:dyDescent="0.25">
      <c r="A10" s="41" t="s">
        <v>1</v>
      </c>
      <c r="B10" s="41">
        <v>45757</v>
      </c>
      <c r="C10" s="45">
        <v>300</v>
      </c>
      <c r="D10">
        <v>550</v>
      </c>
      <c r="E10" t="s">
        <v>58</v>
      </c>
      <c r="G10">
        <v>2025</v>
      </c>
    </row>
    <row r="11" spans="1:7" x14ac:dyDescent="0.25">
      <c r="A11" s="41" t="s">
        <v>1</v>
      </c>
      <c r="B11" s="44">
        <v>45784</v>
      </c>
      <c r="C11" s="45">
        <v>500</v>
      </c>
      <c r="D11">
        <v>50</v>
      </c>
      <c r="E11" t="s">
        <v>59</v>
      </c>
      <c r="F11" t="s">
        <v>152</v>
      </c>
      <c r="G11">
        <v>2025</v>
      </c>
    </row>
    <row r="12" spans="1:7" x14ac:dyDescent="0.25">
      <c r="A12" t="s">
        <v>126</v>
      </c>
      <c r="B12" s="41">
        <v>45778</v>
      </c>
      <c r="C12" s="1">
        <v>150</v>
      </c>
      <c r="D12">
        <v>0</v>
      </c>
      <c r="E12" t="s">
        <v>59</v>
      </c>
      <c r="F12" t="s">
        <v>154</v>
      </c>
      <c r="G12">
        <v>2025</v>
      </c>
    </row>
    <row r="13" spans="1:7" x14ac:dyDescent="0.25">
      <c r="A13" t="s">
        <v>12</v>
      </c>
      <c r="B13" s="44">
        <v>45791</v>
      </c>
      <c r="C13" s="1">
        <v>150</v>
      </c>
      <c r="D13" s="1">
        <v>0</v>
      </c>
      <c r="E13" t="s">
        <v>60</v>
      </c>
      <c r="G13">
        <v>2025</v>
      </c>
    </row>
    <row r="14" spans="1:7" x14ac:dyDescent="0.25">
      <c r="A14" t="s">
        <v>162</v>
      </c>
      <c r="B14" s="41">
        <v>45795</v>
      </c>
      <c r="C14" s="1">
        <v>150</v>
      </c>
      <c r="D14">
        <v>0</v>
      </c>
      <c r="E14" t="s">
        <v>60</v>
      </c>
      <c r="G14">
        <v>2025</v>
      </c>
    </row>
    <row r="15" spans="1:7" x14ac:dyDescent="0.25">
      <c r="A15" s="41" t="s">
        <v>1</v>
      </c>
      <c r="B15" s="41">
        <v>45812</v>
      </c>
      <c r="C15" s="1">
        <v>200</v>
      </c>
      <c r="D15">
        <v>150</v>
      </c>
      <c r="E15" t="s">
        <v>60</v>
      </c>
      <c r="G15">
        <v>2025</v>
      </c>
    </row>
    <row r="16" spans="1:7" x14ac:dyDescent="0.25">
      <c r="A16" t="s">
        <v>126</v>
      </c>
      <c r="B16" s="41">
        <v>45810</v>
      </c>
      <c r="C16" s="1">
        <v>150</v>
      </c>
      <c r="D16">
        <v>0</v>
      </c>
      <c r="E16" t="s">
        <v>60</v>
      </c>
      <c r="G16">
        <v>2025</v>
      </c>
    </row>
    <row r="17" spans="1:7" x14ac:dyDescent="0.25">
      <c r="A17" t="s">
        <v>12</v>
      </c>
      <c r="B17" s="44">
        <v>45826</v>
      </c>
      <c r="C17" s="1">
        <v>150</v>
      </c>
      <c r="D17">
        <v>0</v>
      </c>
      <c r="E17" t="s">
        <v>65</v>
      </c>
      <c r="G17">
        <v>2025</v>
      </c>
    </row>
    <row r="18" spans="1:7" x14ac:dyDescent="0.25">
      <c r="A18" t="s">
        <v>162</v>
      </c>
      <c r="B18" s="41">
        <v>45826</v>
      </c>
      <c r="C18" s="1">
        <v>150</v>
      </c>
      <c r="D18">
        <v>0</v>
      </c>
      <c r="E18" t="s">
        <v>65</v>
      </c>
      <c r="G18">
        <v>2025</v>
      </c>
    </row>
    <row r="19" spans="1:7" x14ac:dyDescent="0.25">
      <c r="A19" t="s">
        <v>126</v>
      </c>
      <c r="B19" s="41">
        <v>45841</v>
      </c>
      <c r="C19" s="1">
        <v>150</v>
      </c>
      <c r="D19">
        <v>0</v>
      </c>
      <c r="E19" t="s">
        <v>65</v>
      </c>
      <c r="G19">
        <v>2025</v>
      </c>
    </row>
    <row r="20" spans="1:7" x14ac:dyDescent="0.25">
      <c r="A20" t="s">
        <v>173</v>
      </c>
      <c r="B20" s="41">
        <v>45935</v>
      </c>
      <c r="C20" s="1">
        <v>60</v>
      </c>
      <c r="D20">
        <v>0</v>
      </c>
      <c r="E20" t="s">
        <v>39</v>
      </c>
      <c r="G20">
        <v>2025</v>
      </c>
    </row>
    <row r="21" spans="1:7" x14ac:dyDescent="0.25">
      <c r="A21" t="s">
        <v>12</v>
      </c>
      <c r="B21" s="41">
        <v>45848</v>
      </c>
      <c r="C21" s="54">
        <v>150</v>
      </c>
      <c r="D21" s="1">
        <v>0</v>
      </c>
      <c r="E21" t="s">
        <v>66</v>
      </c>
      <c r="G21">
        <v>2025</v>
      </c>
    </row>
    <row r="22" spans="1:7" x14ac:dyDescent="0.25">
      <c r="A22" t="s">
        <v>162</v>
      </c>
      <c r="B22" s="41">
        <v>45858</v>
      </c>
      <c r="C22" s="54">
        <v>170</v>
      </c>
      <c r="D22" s="1">
        <v>0</v>
      </c>
      <c r="E22" t="s">
        <v>66</v>
      </c>
      <c r="F22" t="s">
        <v>165</v>
      </c>
      <c r="G22">
        <v>2025</v>
      </c>
    </row>
    <row r="23" spans="1:7" x14ac:dyDescent="0.25">
      <c r="A23" t="s">
        <v>126</v>
      </c>
      <c r="B23" s="41">
        <v>45872</v>
      </c>
      <c r="C23" s="54">
        <v>150</v>
      </c>
      <c r="D23" s="1">
        <v>0</v>
      </c>
      <c r="E23" t="s">
        <v>66</v>
      </c>
      <c r="G23">
        <v>2025</v>
      </c>
    </row>
    <row r="24" spans="1:7" x14ac:dyDescent="0.25">
      <c r="A24" t="s">
        <v>162</v>
      </c>
      <c r="B24" s="41">
        <v>45885</v>
      </c>
      <c r="C24" s="54">
        <v>180</v>
      </c>
      <c r="D24" s="1">
        <v>0</v>
      </c>
      <c r="E24" t="s">
        <v>29</v>
      </c>
      <c r="F24" t="s">
        <v>167</v>
      </c>
      <c r="G24">
        <v>2025</v>
      </c>
    </row>
    <row r="25" spans="1:7" x14ac:dyDescent="0.25">
      <c r="A25" t="s">
        <v>12</v>
      </c>
      <c r="B25" s="41">
        <v>45885</v>
      </c>
      <c r="C25" s="54">
        <v>150</v>
      </c>
      <c r="D25" s="1">
        <v>0</v>
      </c>
      <c r="E25" t="s">
        <v>29</v>
      </c>
      <c r="G25">
        <v>2025</v>
      </c>
    </row>
    <row r="26" spans="1:7" x14ac:dyDescent="0.25">
      <c r="A26" s="41" t="s">
        <v>1</v>
      </c>
      <c r="B26" s="41">
        <v>45905</v>
      </c>
      <c r="C26" s="54">
        <v>200</v>
      </c>
      <c r="D26" s="1">
        <v>250</v>
      </c>
      <c r="E26" t="s">
        <v>65</v>
      </c>
      <c r="F26" t="s">
        <v>180</v>
      </c>
      <c r="G26">
        <v>2025</v>
      </c>
    </row>
    <row r="27" spans="1:7" x14ac:dyDescent="0.25">
      <c r="A27" t="s">
        <v>12</v>
      </c>
      <c r="B27" s="41">
        <v>45918</v>
      </c>
      <c r="C27" s="54">
        <v>150</v>
      </c>
      <c r="D27" s="1">
        <v>0</v>
      </c>
      <c r="E27" t="s">
        <v>31</v>
      </c>
      <c r="G27">
        <v>2025</v>
      </c>
    </row>
    <row r="28" spans="1:7" x14ac:dyDescent="0.25">
      <c r="A28" t="s">
        <v>162</v>
      </c>
      <c r="B28" s="41">
        <v>45923</v>
      </c>
      <c r="C28" s="54">
        <v>150</v>
      </c>
      <c r="D28" s="1">
        <v>0</v>
      </c>
      <c r="E28" t="s">
        <v>31</v>
      </c>
      <c r="G28">
        <v>2025</v>
      </c>
    </row>
    <row r="29" spans="1:7" x14ac:dyDescent="0.25">
      <c r="A29" t="s">
        <v>126</v>
      </c>
      <c r="B29" s="41">
        <v>45910</v>
      </c>
      <c r="C29" s="54">
        <v>150</v>
      </c>
      <c r="D29" s="1">
        <v>0</v>
      </c>
      <c r="E29" t="s">
        <v>29</v>
      </c>
      <c r="G29">
        <v>2025</v>
      </c>
    </row>
    <row r="30" spans="1:7" x14ac:dyDescent="0.25">
      <c r="A30" t="s">
        <v>126</v>
      </c>
      <c r="B30" s="41">
        <v>45932</v>
      </c>
      <c r="C30" s="54">
        <v>150</v>
      </c>
      <c r="D30" s="1">
        <v>0</v>
      </c>
      <c r="E30" t="s">
        <v>31</v>
      </c>
      <c r="G30">
        <v>2025</v>
      </c>
    </row>
    <row r="31" spans="1:7" x14ac:dyDescent="0.25">
      <c r="A31" t="s">
        <v>12</v>
      </c>
      <c r="B31" s="41">
        <v>45947</v>
      </c>
      <c r="C31" s="54">
        <v>150</v>
      </c>
      <c r="D31" s="1">
        <v>0</v>
      </c>
      <c r="E31" t="s">
        <v>39</v>
      </c>
      <c r="G31">
        <v>2025</v>
      </c>
    </row>
    <row r="32" spans="1:7" x14ac:dyDescent="0.25">
      <c r="A32" t="s">
        <v>162</v>
      </c>
      <c r="B32" s="41">
        <v>45956</v>
      </c>
      <c r="C32" s="54">
        <v>150</v>
      </c>
      <c r="D32" s="1">
        <v>0</v>
      </c>
      <c r="E32" t="s">
        <v>39</v>
      </c>
      <c r="G32">
        <v>2025</v>
      </c>
    </row>
    <row r="33" spans="1:7" x14ac:dyDescent="0.25">
      <c r="A33" s="41" t="s">
        <v>1</v>
      </c>
      <c r="B33" s="41">
        <v>45940</v>
      </c>
      <c r="C33" s="54">
        <v>150</v>
      </c>
      <c r="D33" s="1">
        <v>400</v>
      </c>
      <c r="F33" t="s">
        <v>181</v>
      </c>
      <c r="G33">
        <v>2025</v>
      </c>
    </row>
    <row r="34" spans="1:7" x14ac:dyDescent="0.25">
      <c r="A34" s="41" t="s">
        <v>1</v>
      </c>
      <c r="B34" s="41">
        <v>45963</v>
      </c>
      <c r="C34" s="54">
        <v>400</v>
      </c>
      <c r="D34" s="1">
        <v>0</v>
      </c>
      <c r="E34" t="s">
        <v>39</v>
      </c>
      <c r="F34" t="s">
        <v>182</v>
      </c>
      <c r="G34">
        <v>2025</v>
      </c>
    </row>
    <row r="35" spans="1:7" x14ac:dyDescent="0.25">
      <c r="A35" t="s">
        <v>126</v>
      </c>
      <c r="B35" s="41">
        <v>45965</v>
      </c>
      <c r="C35" s="54">
        <v>150</v>
      </c>
      <c r="D35" s="1">
        <v>0</v>
      </c>
      <c r="E35" t="s">
        <v>39</v>
      </c>
      <c r="G35">
        <v>2025</v>
      </c>
    </row>
    <row r="36" spans="1:7" x14ac:dyDescent="0.25">
      <c r="A36" t="s">
        <v>173</v>
      </c>
      <c r="B36" s="41">
        <v>45975</v>
      </c>
      <c r="C36" s="54">
        <v>60</v>
      </c>
      <c r="D36" s="1">
        <v>0</v>
      </c>
      <c r="E36" t="s">
        <v>80</v>
      </c>
      <c r="G36">
        <v>2025</v>
      </c>
    </row>
    <row r="37" spans="1:7" x14ac:dyDescent="0.25">
      <c r="A37" t="s">
        <v>12</v>
      </c>
      <c r="B37" s="41">
        <v>45975</v>
      </c>
      <c r="C37" s="54">
        <v>150</v>
      </c>
      <c r="D37" s="1">
        <v>0</v>
      </c>
      <c r="E37" t="s">
        <v>80</v>
      </c>
      <c r="G37">
        <v>2025</v>
      </c>
    </row>
    <row r="38" spans="1:7" x14ac:dyDescent="0.25">
      <c r="A38" t="s">
        <v>12</v>
      </c>
      <c r="B38" s="41">
        <v>46006</v>
      </c>
      <c r="C38" s="54">
        <v>150</v>
      </c>
      <c r="D38" s="1">
        <v>0</v>
      </c>
      <c r="E38" t="s">
        <v>83</v>
      </c>
      <c r="G38">
        <v>2025</v>
      </c>
    </row>
    <row r="39" spans="1:7" x14ac:dyDescent="0.25">
      <c r="A39" t="s">
        <v>126</v>
      </c>
      <c r="B39" s="41">
        <v>45998</v>
      </c>
      <c r="C39" s="54">
        <v>150</v>
      </c>
      <c r="D39" s="1">
        <v>0</v>
      </c>
      <c r="E39" t="s">
        <v>80</v>
      </c>
      <c r="G39">
        <v>2025</v>
      </c>
    </row>
    <row r="40" spans="1:7" x14ac:dyDescent="0.25">
      <c r="A40" t="s">
        <v>162</v>
      </c>
      <c r="B40" s="41">
        <v>45990</v>
      </c>
      <c r="C40" s="54">
        <v>150</v>
      </c>
      <c r="D40" s="1">
        <v>0</v>
      </c>
      <c r="E40" t="s">
        <v>80</v>
      </c>
      <c r="G40">
        <v>2025</v>
      </c>
    </row>
    <row r="41" spans="1:7" x14ac:dyDescent="0.25">
      <c r="A41" t="s">
        <v>162</v>
      </c>
      <c r="B41" s="41">
        <v>46018</v>
      </c>
      <c r="C41" s="54">
        <v>160</v>
      </c>
      <c r="D41" s="1">
        <v>0</v>
      </c>
      <c r="E41" t="s">
        <v>83</v>
      </c>
      <c r="F41" t="s">
        <v>183</v>
      </c>
      <c r="G41">
        <v>2025</v>
      </c>
    </row>
    <row r="42" spans="1:7" x14ac:dyDescent="0.25">
      <c r="A42" t="s">
        <v>173</v>
      </c>
      <c r="B42" s="41">
        <v>46018</v>
      </c>
      <c r="C42" s="54">
        <v>60</v>
      </c>
      <c r="D42" s="1">
        <v>0</v>
      </c>
      <c r="E42" t="s">
        <v>83</v>
      </c>
      <c r="G42">
        <v>2025</v>
      </c>
    </row>
    <row r="43" spans="1:7" x14ac:dyDescent="0.25">
      <c r="A43" t="s">
        <v>126</v>
      </c>
      <c r="B43" s="41">
        <v>46030</v>
      </c>
      <c r="C43" s="54">
        <v>150</v>
      </c>
      <c r="D43" s="1">
        <v>0</v>
      </c>
      <c r="E43" t="s">
        <v>53</v>
      </c>
      <c r="G43">
        <v>2026</v>
      </c>
    </row>
    <row r="44" spans="1:7" x14ac:dyDescent="0.25">
      <c r="A44" t="s">
        <v>173</v>
      </c>
      <c r="B44" s="41">
        <v>46048</v>
      </c>
      <c r="C44" s="54">
        <v>60</v>
      </c>
      <c r="D44" s="1">
        <v>0</v>
      </c>
      <c r="E44" t="s">
        <v>53</v>
      </c>
      <c r="G44">
        <v>2026</v>
      </c>
    </row>
    <row r="45" spans="1:7" x14ac:dyDescent="0.25">
      <c r="A45" t="s">
        <v>126</v>
      </c>
      <c r="B45" s="41">
        <v>46055</v>
      </c>
      <c r="C45" s="54">
        <v>150</v>
      </c>
      <c r="D45" s="1">
        <v>0</v>
      </c>
      <c r="E45" t="s">
        <v>52</v>
      </c>
      <c r="G45">
        <v>2026</v>
      </c>
    </row>
    <row r="46" spans="1:7" x14ac:dyDescent="0.25">
      <c r="A46" t="s">
        <v>162</v>
      </c>
      <c r="B46" s="41">
        <v>46025</v>
      </c>
      <c r="C46" s="54">
        <v>160</v>
      </c>
      <c r="D46" s="1">
        <v>0</v>
      </c>
      <c r="E46" t="s">
        <v>53</v>
      </c>
      <c r="G46">
        <v>2026</v>
      </c>
    </row>
    <row r="47" spans="1:7" x14ac:dyDescent="0.25">
      <c r="A47" t="s">
        <v>187</v>
      </c>
      <c r="B47" s="41">
        <v>46069</v>
      </c>
      <c r="C47" s="54">
        <v>180</v>
      </c>
      <c r="D47" s="1">
        <v>0</v>
      </c>
      <c r="E47" t="s">
        <v>52</v>
      </c>
      <c r="F47" t="s">
        <v>188</v>
      </c>
      <c r="G47">
        <v>2026</v>
      </c>
    </row>
    <row r="48" spans="1:7" x14ac:dyDescent="0.25">
      <c r="A48" t="s">
        <v>12</v>
      </c>
      <c r="B48" s="41">
        <v>46036</v>
      </c>
      <c r="C48" s="54">
        <v>150</v>
      </c>
      <c r="D48" s="1">
        <v>0</v>
      </c>
      <c r="E48" t="s">
        <v>53</v>
      </c>
      <c r="G48">
        <v>2026</v>
      </c>
    </row>
    <row r="49" spans="1:7" x14ac:dyDescent="0.25">
      <c r="A49" t="s">
        <v>12</v>
      </c>
      <c r="B49" s="41">
        <v>46065</v>
      </c>
      <c r="C49" s="54">
        <v>55</v>
      </c>
      <c r="D49" s="1">
        <v>0</v>
      </c>
      <c r="E49" t="s">
        <v>52</v>
      </c>
      <c r="F49" t="s">
        <v>189</v>
      </c>
      <c r="G49">
        <v>2026</v>
      </c>
    </row>
    <row r="50" spans="1:7" x14ac:dyDescent="0.25">
      <c r="A50" t="s">
        <v>162</v>
      </c>
      <c r="B50" s="41">
        <v>46059</v>
      </c>
      <c r="C50" s="54">
        <v>150</v>
      </c>
      <c r="D50" s="1">
        <v>0</v>
      </c>
      <c r="E50" t="s">
        <v>52</v>
      </c>
      <c r="G50">
        <v>2026</v>
      </c>
    </row>
    <row r="51" spans="1:7" x14ac:dyDescent="0.25">
      <c r="A51" t="s">
        <v>126</v>
      </c>
      <c r="B51" s="41">
        <v>46086</v>
      </c>
      <c r="C51" s="54">
        <v>150</v>
      </c>
      <c r="D51" s="1">
        <v>0</v>
      </c>
      <c r="E51" t="s">
        <v>58</v>
      </c>
      <c r="G51">
        <v>2026</v>
      </c>
    </row>
    <row r="52" spans="1:7" x14ac:dyDescent="0.25">
      <c r="A52" t="s">
        <v>162</v>
      </c>
      <c r="B52" s="41">
        <v>46099</v>
      </c>
      <c r="C52" s="54">
        <v>150</v>
      </c>
      <c r="D52" s="1">
        <v>0</v>
      </c>
      <c r="E52" t="s">
        <v>58</v>
      </c>
      <c r="G52">
        <v>2026</v>
      </c>
    </row>
    <row r="53" spans="1:7" x14ac:dyDescent="0.25">
      <c r="A53" t="s">
        <v>173</v>
      </c>
      <c r="B53" s="41">
        <v>46066</v>
      </c>
      <c r="C53" s="54">
        <v>60</v>
      </c>
      <c r="D53" s="1">
        <v>0</v>
      </c>
      <c r="E53" t="s">
        <v>52</v>
      </c>
      <c r="G53">
        <v>2026</v>
      </c>
    </row>
    <row r="54" spans="1:7" x14ac:dyDescent="0.25">
      <c r="A54" t="s">
        <v>173</v>
      </c>
      <c r="B54" s="41">
        <v>46095</v>
      </c>
      <c r="C54" s="54">
        <v>60</v>
      </c>
      <c r="D54" s="1">
        <v>0</v>
      </c>
      <c r="E54" t="s">
        <v>58</v>
      </c>
      <c r="G54">
        <v>2026</v>
      </c>
    </row>
    <row r="55" spans="1:7" x14ac:dyDescent="0.25">
      <c r="A55" s="41" t="s">
        <v>1</v>
      </c>
      <c r="B55" s="41">
        <v>46001</v>
      </c>
      <c r="C55" s="54">
        <v>0</v>
      </c>
      <c r="D55" s="1">
        <v>150</v>
      </c>
      <c r="E55" t="s">
        <v>83</v>
      </c>
      <c r="F55" t="s">
        <v>71</v>
      </c>
      <c r="G55">
        <v>2025</v>
      </c>
    </row>
    <row r="56" spans="1:7" x14ac:dyDescent="0.25">
      <c r="A56" s="41" t="s">
        <v>1</v>
      </c>
      <c r="B56" s="41">
        <v>46032</v>
      </c>
      <c r="C56" s="54">
        <f>DETALLE!I83</f>
        <v>0</v>
      </c>
      <c r="D56" s="1">
        <v>300</v>
      </c>
      <c r="E56" t="s">
        <v>53</v>
      </c>
      <c r="F56" t="s">
        <v>71</v>
      </c>
      <c r="G56">
        <v>2026</v>
      </c>
    </row>
    <row r="57" spans="1:7" x14ac:dyDescent="0.25">
      <c r="A57" s="41" t="s">
        <v>1</v>
      </c>
      <c r="B57" s="41">
        <v>46063</v>
      </c>
      <c r="C57" s="54">
        <f>DETALLE!I84</f>
        <v>0</v>
      </c>
      <c r="D57" s="1">
        <v>450</v>
      </c>
      <c r="E57" t="s">
        <v>52</v>
      </c>
      <c r="F57" t="s">
        <v>71</v>
      </c>
      <c r="G57">
        <v>2026</v>
      </c>
    </row>
    <row r="58" spans="1:7" x14ac:dyDescent="0.25">
      <c r="A58" s="41" t="s">
        <v>1</v>
      </c>
      <c r="B58" s="41">
        <v>42439</v>
      </c>
      <c r="C58" s="54">
        <f>DETALLE!I85</f>
        <v>0</v>
      </c>
      <c r="D58" s="1">
        <v>500</v>
      </c>
      <c r="E58" t="s">
        <v>58</v>
      </c>
      <c r="F58" t="s">
        <v>71</v>
      </c>
      <c r="G58">
        <v>2026</v>
      </c>
    </row>
    <row r="59" spans="1:7" x14ac:dyDescent="0.25">
      <c r="A59" s="41" t="s">
        <v>1</v>
      </c>
      <c r="B59" s="41">
        <v>46122</v>
      </c>
      <c r="C59" s="54">
        <f>DETALLE!I86</f>
        <v>0</v>
      </c>
      <c r="D59" s="1">
        <v>650</v>
      </c>
      <c r="E59" t="s">
        <v>59</v>
      </c>
      <c r="F59" t="s">
        <v>190</v>
      </c>
      <c r="G59">
        <v>2026</v>
      </c>
    </row>
    <row r="60" spans="1:7" x14ac:dyDescent="0.25">
      <c r="A60" s="41"/>
      <c r="B60" s="41"/>
      <c r="C60" s="54"/>
    </row>
    <row r="61" spans="1:7" x14ac:dyDescent="0.25">
      <c r="A61" t="s">
        <v>162</v>
      </c>
      <c r="B61" s="41">
        <v>46136</v>
      </c>
      <c r="C61" s="54">
        <v>150</v>
      </c>
      <c r="D61" s="1">
        <v>0</v>
      </c>
      <c r="E61" t="s">
        <v>59</v>
      </c>
      <c r="G61">
        <v>2026</v>
      </c>
    </row>
    <row r="62" spans="1:7" x14ac:dyDescent="0.25">
      <c r="A62" t="s">
        <v>162</v>
      </c>
      <c r="B62" s="41">
        <v>46143</v>
      </c>
      <c r="C62" s="54">
        <f>DETALLE!I89</f>
        <v>0</v>
      </c>
      <c r="D62" s="1">
        <v>150</v>
      </c>
      <c r="E62" t="s">
        <v>60</v>
      </c>
      <c r="G62">
        <v>2026</v>
      </c>
    </row>
    <row r="63" spans="1:7" x14ac:dyDescent="0.25">
      <c r="A63" t="s">
        <v>162</v>
      </c>
      <c r="B63" s="41">
        <v>46176</v>
      </c>
      <c r="C63" s="54">
        <v>150</v>
      </c>
      <c r="D63" s="1">
        <v>150</v>
      </c>
      <c r="E63" t="s">
        <v>65</v>
      </c>
      <c r="G63">
        <v>2026</v>
      </c>
    </row>
    <row r="64" spans="1:7" x14ac:dyDescent="0.25">
      <c r="A64" t="s">
        <v>126</v>
      </c>
      <c r="B64" s="41">
        <v>46118</v>
      </c>
      <c r="C64" s="54">
        <v>150</v>
      </c>
      <c r="D64" s="1">
        <v>0</v>
      </c>
      <c r="E64" t="s">
        <v>59</v>
      </c>
      <c r="G64">
        <v>2026</v>
      </c>
    </row>
    <row r="65" spans="1:7" x14ac:dyDescent="0.25">
      <c r="A65" t="s">
        <v>126</v>
      </c>
      <c r="B65" s="41">
        <v>46150</v>
      </c>
      <c r="C65" s="54">
        <v>150</v>
      </c>
      <c r="D65" s="1">
        <v>0</v>
      </c>
      <c r="E65" t="s">
        <v>60</v>
      </c>
      <c r="G65">
        <v>2026</v>
      </c>
    </row>
    <row r="66" spans="1:7" x14ac:dyDescent="0.25">
      <c r="A66" t="s">
        <v>126</v>
      </c>
      <c r="B66" s="41">
        <v>46023</v>
      </c>
      <c r="C66" s="54">
        <v>150</v>
      </c>
      <c r="D66" s="1">
        <v>0</v>
      </c>
      <c r="E66" t="s">
        <v>65</v>
      </c>
      <c r="G66">
        <v>2026</v>
      </c>
    </row>
    <row r="67" spans="1:7" x14ac:dyDescent="0.25">
      <c r="A67" t="s">
        <v>173</v>
      </c>
      <c r="B67" s="41">
        <v>46144</v>
      </c>
      <c r="C67" s="54">
        <v>60</v>
      </c>
      <c r="D67" s="1">
        <v>0</v>
      </c>
      <c r="E67" t="s">
        <v>60</v>
      </c>
      <c r="G67">
        <v>2026</v>
      </c>
    </row>
    <row r="68" spans="1:7" x14ac:dyDescent="0.25">
      <c r="A68" t="s">
        <v>173</v>
      </c>
      <c r="B68" s="41">
        <v>46177</v>
      </c>
      <c r="C68" s="54">
        <v>60</v>
      </c>
      <c r="D68" s="1">
        <v>0</v>
      </c>
      <c r="E68" t="s">
        <v>65</v>
      </c>
      <c r="G68">
        <v>2026</v>
      </c>
    </row>
    <row r="69" spans="1:7" x14ac:dyDescent="0.25">
      <c r="A69" t="s">
        <v>173</v>
      </c>
      <c r="B69" s="41">
        <v>46207</v>
      </c>
      <c r="C69" s="54">
        <v>60</v>
      </c>
      <c r="D69" s="1">
        <v>0</v>
      </c>
      <c r="E69" t="s">
        <v>66</v>
      </c>
      <c r="F69" t="s">
        <v>191</v>
      </c>
      <c r="G69">
        <v>2026</v>
      </c>
    </row>
    <row r="70" spans="1:7" x14ac:dyDescent="0.25">
      <c r="A70" s="41" t="s">
        <v>1</v>
      </c>
      <c r="B70" s="41">
        <v>46144</v>
      </c>
      <c r="C70" s="54">
        <v>300</v>
      </c>
      <c r="D70" s="1">
        <v>400</v>
      </c>
      <c r="E70" t="s">
        <v>60</v>
      </c>
      <c r="F70" t="s">
        <v>192</v>
      </c>
      <c r="G70">
        <v>2026</v>
      </c>
    </row>
    <row r="71" spans="1:7" x14ac:dyDescent="0.25">
      <c r="A71" s="41" t="s">
        <v>1</v>
      </c>
      <c r="B71" s="41">
        <v>46183</v>
      </c>
      <c r="C71" s="54">
        <v>0</v>
      </c>
      <c r="D71" s="1">
        <v>600</v>
      </c>
      <c r="E71" t="s">
        <v>65</v>
      </c>
      <c r="F71" t="s">
        <v>193</v>
      </c>
      <c r="G71">
        <v>2026</v>
      </c>
    </row>
    <row r="72" spans="1:7" x14ac:dyDescent="0.25">
      <c r="A72" s="41" t="s">
        <v>1</v>
      </c>
      <c r="B72" s="41">
        <v>46213</v>
      </c>
      <c r="C72" s="54">
        <f>DETALLE!I99</f>
        <v>0</v>
      </c>
      <c r="D72" s="1">
        <v>800</v>
      </c>
      <c r="E72" t="s">
        <v>66</v>
      </c>
      <c r="F72" t="s">
        <v>194</v>
      </c>
      <c r="G72">
        <v>2026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81"/>
  <sheetViews>
    <sheetView topLeftCell="G27" zoomScale="90" zoomScaleNormal="90" workbookViewId="0">
      <selection activeCell="R48" sqref="R48"/>
    </sheetView>
  </sheetViews>
  <sheetFormatPr baseColWidth="10" defaultRowHeight="15" x14ac:dyDescent="0.25"/>
  <cols>
    <col min="4" max="4" width="12.85546875" customWidth="1"/>
    <col min="6" max="6" width="25.5703125" customWidth="1"/>
    <col min="12" max="12" width="20.7109375" customWidth="1"/>
    <col min="16" max="16" width="13.28515625" customWidth="1"/>
    <col min="18" max="18" width="48.7109375" customWidth="1"/>
  </cols>
  <sheetData>
    <row r="1" spans="2:18" x14ac:dyDescent="0.25">
      <c r="B1" t="s">
        <v>111</v>
      </c>
      <c r="C1" t="s">
        <v>114</v>
      </c>
      <c r="H1" t="s">
        <v>111</v>
      </c>
      <c r="I1" t="s">
        <v>113</v>
      </c>
      <c r="N1" t="s">
        <v>111</v>
      </c>
      <c r="O1" t="s">
        <v>112</v>
      </c>
    </row>
    <row r="2" spans="2:18" x14ac:dyDescent="0.25">
      <c r="B2" s="30" t="s">
        <v>92</v>
      </c>
      <c r="C2" s="30" t="s">
        <v>106</v>
      </c>
      <c r="D2" s="30"/>
      <c r="E2" s="30" t="s">
        <v>96</v>
      </c>
      <c r="F2" s="30" t="s">
        <v>97</v>
      </c>
      <c r="H2" s="30" t="s">
        <v>101</v>
      </c>
      <c r="I2" s="30" t="s">
        <v>106</v>
      </c>
      <c r="K2" s="30" t="s">
        <v>96</v>
      </c>
      <c r="L2" t="s">
        <v>105</v>
      </c>
      <c r="N2" s="30" t="s">
        <v>101</v>
      </c>
      <c r="O2" s="30" t="s">
        <v>106</v>
      </c>
      <c r="Q2" t="s">
        <v>96</v>
      </c>
      <c r="R2" t="s">
        <v>30</v>
      </c>
    </row>
    <row r="3" spans="2:18" x14ac:dyDescent="0.25">
      <c r="B3" s="30" t="s">
        <v>7</v>
      </c>
      <c r="C3" s="30" t="s">
        <v>95</v>
      </c>
      <c r="D3" s="30"/>
      <c r="E3" s="30"/>
      <c r="F3" s="30"/>
      <c r="H3" t="s">
        <v>7</v>
      </c>
      <c r="I3" s="29" t="s">
        <v>102</v>
      </c>
      <c r="N3" t="s">
        <v>7</v>
      </c>
      <c r="O3" s="39" t="s">
        <v>127</v>
      </c>
    </row>
    <row r="4" spans="2:18" x14ac:dyDescent="0.25">
      <c r="B4" s="30" t="s">
        <v>93</v>
      </c>
      <c r="C4" s="30" t="s">
        <v>94</v>
      </c>
      <c r="D4" s="28"/>
      <c r="E4" s="30"/>
      <c r="F4" s="30"/>
      <c r="H4" t="s">
        <v>93</v>
      </c>
      <c r="I4" s="29" t="s">
        <v>103</v>
      </c>
      <c r="J4" s="36"/>
      <c r="N4" t="s">
        <v>93</v>
      </c>
      <c r="O4" s="12"/>
    </row>
    <row r="5" spans="2:18" x14ac:dyDescent="0.25">
      <c r="B5" s="30" t="s">
        <v>0</v>
      </c>
      <c r="C5" s="31"/>
      <c r="D5" s="32"/>
      <c r="E5" s="33" t="s">
        <v>20</v>
      </c>
      <c r="F5" s="30">
        <v>70914404</v>
      </c>
      <c r="H5" t="s">
        <v>0</v>
      </c>
      <c r="I5" s="2" t="s">
        <v>12</v>
      </c>
      <c r="K5" t="s">
        <v>104</v>
      </c>
      <c r="L5">
        <v>6119134</v>
      </c>
      <c r="N5" t="s">
        <v>0</v>
      </c>
      <c r="O5" s="2" t="s">
        <v>1</v>
      </c>
      <c r="P5" s="6"/>
      <c r="Q5" t="s">
        <v>104</v>
      </c>
      <c r="R5" s="40">
        <v>72895433</v>
      </c>
    </row>
    <row r="6" spans="2:18" x14ac:dyDescent="0.25">
      <c r="B6" s="30" t="s">
        <v>98</v>
      </c>
      <c r="C6" s="34">
        <v>0.8125</v>
      </c>
      <c r="D6" s="30" t="s">
        <v>99</v>
      </c>
      <c r="E6" s="34">
        <v>0.3125</v>
      </c>
      <c r="F6" s="30"/>
      <c r="H6" t="s">
        <v>98</v>
      </c>
      <c r="I6" s="37">
        <v>0.33333333333333331</v>
      </c>
      <c r="J6" t="s">
        <v>99</v>
      </c>
      <c r="K6" s="37">
        <v>0.33333333333333331</v>
      </c>
      <c r="N6" t="s">
        <v>98</v>
      </c>
      <c r="O6" s="37">
        <v>0.95833333333333337</v>
      </c>
      <c r="P6" t="s">
        <v>110</v>
      </c>
      <c r="Q6" s="37">
        <v>0.29166666666666669</v>
      </c>
    </row>
    <row r="7" spans="2:18" x14ac:dyDescent="0.25">
      <c r="B7" s="35" t="s">
        <v>3</v>
      </c>
      <c r="C7" s="35" t="s">
        <v>15</v>
      </c>
      <c r="D7" s="35" t="s">
        <v>24</v>
      </c>
      <c r="E7" s="35" t="s">
        <v>16</v>
      </c>
      <c r="F7" s="35" t="s">
        <v>17</v>
      </c>
      <c r="H7" s="3" t="s">
        <v>3</v>
      </c>
      <c r="I7" s="3" t="s">
        <v>15</v>
      </c>
      <c r="J7" s="3" t="s">
        <v>24</v>
      </c>
      <c r="K7" s="7" t="s">
        <v>16</v>
      </c>
      <c r="L7" s="3" t="s">
        <v>17</v>
      </c>
      <c r="N7" s="3" t="s">
        <v>3</v>
      </c>
      <c r="O7" s="3" t="s">
        <v>15</v>
      </c>
      <c r="P7" s="3" t="s">
        <v>16</v>
      </c>
      <c r="Q7" s="7" t="s">
        <v>24</v>
      </c>
      <c r="R7" s="3" t="s">
        <v>17</v>
      </c>
    </row>
    <row r="8" spans="2:18" x14ac:dyDescent="0.25">
      <c r="B8" s="26">
        <v>45763</v>
      </c>
      <c r="C8" s="27"/>
      <c r="D8" s="27"/>
      <c r="E8" s="27"/>
      <c r="F8" s="27" t="s">
        <v>100</v>
      </c>
      <c r="H8" s="13">
        <v>45121</v>
      </c>
      <c r="I8" s="14">
        <v>50</v>
      </c>
      <c r="J8" s="14">
        <v>0</v>
      </c>
      <c r="K8" s="14">
        <v>0</v>
      </c>
      <c r="L8" s="14" t="s">
        <v>22</v>
      </c>
      <c r="N8" s="13">
        <v>45086</v>
      </c>
      <c r="O8" s="14">
        <v>500</v>
      </c>
      <c r="P8" s="14">
        <v>1500</v>
      </c>
      <c r="Q8" s="14">
        <f>P8+O8</f>
        <v>2000</v>
      </c>
      <c r="R8" s="14" t="s">
        <v>23</v>
      </c>
    </row>
    <row r="9" spans="2:18" x14ac:dyDescent="0.25">
      <c r="B9" s="26">
        <v>45795</v>
      </c>
      <c r="C9" s="27">
        <v>150</v>
      </c>
      <c r="D9" s="27">
        <v>0</v>
      </c>
      <c r="E9" s="27">
        <v>0</v>
      </c>
      <c r="F9" s="27" t="s">
        <v>163</v>
      </c>
      <c r="H9" s="13">
        <v>45122</v>
      </c>
      <c r="I9" s="14">
        <v>100</v>
      </c>
      <c r="J9" s="14">
        <v>0</v>
      </c>
      <c r="K9" s="14">
        <v>0</v>
      </c>
      <c r="L9" s="14" t="s">
        <v>25</v>
      </c>
      <c r="N9" s="13">
        <v>45115</v>
      </c>
      <c r="O9" s="14">
        <v>300</v>
      </c>
      <c r="P9" s="14">
        <f>P8-O9</f>
        <v>1200</v>
      </c>
      <c r="Q9" s="14">
        <v>1500</v>
      </c>
      <c r="R9" s="14" t="s">
        <v>33</v>
      </c>
    </row>
    <row r="10" spans="2:18" x14ac:dyDescent="0.25">
      <c r="B10" s="5">
        <v>45826</v>
      </c>
      <c r="C10" s="4">
        <v>150</v>
      </c>
      <c r="D10" s="4">
        <v>0</v>
      </c>
      <c r="E10" s="4">
        <v>0</v>
      </c>
      <c r="F10" s="4"/>
      <c r="H10" s="13">
        <v>45183</v>
      </c>
      <c r="I10" s="14">
        <v>150</v>
      </c>
      <c r="J10" s="14">
        <v>0</v>
      </c>
      <c r="K10" s="14">
        <v>0</v>
      </c>
      <c r="L10" s="14"/>
      <c r="N10" s="13">
        <v>45145</v>
      </c>
      <c r="O10" s="14">
        <v>500</v>
      </c>
      <c r="P10" s="14">
        <f>P9-O10</f>
        <v>700</v>
      </c>
      <c r="Q10" s="14">
        <v>850</v>
      </c>
      <c r="R10" s="14" t="s">
        <v>34</v>
      </c>
    </row>
    <row r="11" spans="2:18" x14ac:dyDescent="0.25">
      <c r="B11" s="5">
        <v>45858</v>
      </c>
      <c r="C11" s="4">
        <v>170</v>
      </c>
      <c r="D11" s="4">
        <v>0</v>
      </c>
      <c r="E11" s="4">
        <v>0</v>
      </c>
      <c r="F11" s="4" t="s">
        <v>166</v>
      </c>
      <c r="H11" s="13">
        <v>45209</v>
      </c>
      <c r="I11" s="14">
        <v>150</v>
      </c>
      <c r="J11" s="14">
        <v>0</v>
      </c>
      <c r="K11" s="14">
        <v>0</v>
      </c>
      <c r="L11" s="14"/>
      <c r="N11" s="14" t="s">
        <v>29</v>
      </c>
      <c r="O11" s="14">
        <v>0</v>
      </c>
      <c r="P11" s="14">
        <v>1000</v>
      </c>
      <c r="Q11" s="14">
        <v>1000</v>
      </c>
      <c r="R11" s="14" t="s">
        <v>32</v>
      </c>
    </row>
    <row r="12" spans="2:18" x14ac:dyDescent="0.25">
      <c r="B12" s="5">
        <v>45885</v>
      </c>
      <c r="C12" s="4">
        <v>180</v>
      </c>
      <c r="D12" s="4">
        <v>0</v>
      </c>
      <c r="E12" s="4">
        <v>0</v>
      </c>
      <c r="F12" s="4" t="s">
        <v>168</v>
      </c>
      <c r="H12" s="13">
        <v>45244</v>
      </c>
      <c r="I12" s="14">
        <v>150</v>
      </c>
      <c r="J12" s="14">
        <v>0</v>
      </c>
      <c r="K12" s="14">
        <v>0</v>
      </c>
      <c r="L12" s="14"/>
      <c r="N12" s="14" t="s">
        <v>31</v>
      </c>
      <c r="O12" s="15">
        <v>0</v>
      </c>
      <c r="P12" s="14">
        <v>1150</v>
      </c>
      <c r="Q12" s="14">
        <v>1150</v>
      </c>
      <c r="R12" s="14" t="s">
        <v>35</v>
      </c>
    </row>
    <row r="13" spans="2:18" x14ac:dyDescent="0.25">
      <c r="B13" s="5">
        <v>45923</v>
      </c>
      <c r="C13" s="4">
        <v>150</v>
      </c>
      <c r="D13" s="4">
        <v>0</v>
      </c>
      <c r="E13" s="4">
        <v>0</v>
      </c>
      <c r="F13" s="4"/>
      <c r="H13" s="13">
        <v>45275</v>
      </c>
      <c r="I13" s="14">
        <v>150</v>
      </c>
      <c r="J13" s="14"/>
      <c r="K13" s="14"/>
      <c r="L13" s="14"/>
      <c r="N13" s="14" t="s">
        <v>39</v>
      </c>
      <c r="O13" s="14">
        <v>300</v>
      </c>
      <c r="P13" s="14">
        <f>P12-O13</f>
        <v>850</v>
      </c>
      <c r="Q13" s="14">
        <f>P13+150</f>
        <v>1000</v>
      </c>
      <c r="R13" s="14" t="s">
        <v>44</v>
      </c>
    </row>
    <row r="14" spans="2:18" x14ac:dyDescent="0.25">
      <c r="B14" s="5">
        <v>45956</v>
      </c>
      <c r="C14" s="4">
        <v>150</v>
      </c>
      <c r="D14" s="4">
        <v>0</v>
      </c>
      <c r="E14" s="4">
        <v>0</v>
      </c>
      <c r="F14" s="4"/>
      <c r="H14" s="5">
        <v>45306</v>
      </c>
      <c r="I14" s="4">
        <v>150</v>
      </c>
      <c r="J14" s="4">
        <v>0</v>
      </c>
      <c r="K14" s="4">
        <v>0</v>
      </c>
      <c r="L14" s="4"/>
      <c r="N14" s="14"/>
      <c r="O14" s="14">
        <v>250</v>
      </c>
      <c r="P14" s="14"/>
      <c r="Q14" s="14">
        <v>750</v>
      </c>
      <c r="R14" s="14" t="s">
        <v>45</v>
      </c>
    </row>
    <row r="15" spans="2:18" x14ac:dyDescent="0.25">
      <c r="B15" s="4"/>
      <c r="C15" s="4"/>
      <c r="D15" s="4"/>
      <c r="E15" s="4"/>
      <c r="F15" s="4"/>
      <c r="H15" s="5">
        <v>45337</v>
      </c>
      <c r="I15" s="4">
        <v>150</v>
      </c>
      <c r="J15" s="4">
        <v>0</v>
      </c>
      <c r="K15" s="4">
        <v>0</v>
      </c>
      <c r="L15" s="4"/>
      <c r="N15" s="5">
        <v>45301</v>
      </c>
      <c r="O15" s="4">
        <v>150</v>
      </c>
      <c r="P15" s="4"/>
      <c r="Q15" s="4">
        <v>0</v>
      </c>
      <c r="R15" s="4"/>
    </row>
    <row r="16" spans="2:18" x14ac:dyDescent="0.25">
      <c r="B16" s="4"/>
      <c r="C16" s="4"/>
      <c r="D16" s="4"/>
      <c r="E16" s="4"/>
      <c r="F16" s="4"/>
      <c r="H16" s="5">
        <v>45365</v>
      </c>
      <c r="I16" s="4">
        <v>150</v>
      </c>
      <c r="J16" s="4">
        <v>0</v>
      </c>
      <c r="K16" s="4">
        <v>0</v>
      </c>
      <c r="L16" s="4"/>
      <c r="N16" s="5">
        <v>45341</v>
      </c>
      <c r="O16" s="4">
        <v>150</v>
      </c>
      <c r="P16" s="4"/>
      <c r="Q16" s="4">
        <v>300</v>
      </c>
      <c r="R16" s="4" t="s">
        <v>50</v>
      </c>
    </row>
    <row r="17" spans="2:18" x14ac:dyDescent="0.25">
      <c r="B17" s="4"/>
      <c r="C17" s="4"/>
      <c r="D17" s="4"/>
      <c r="E17" s="4"/>
      <c r="F17" s="4"/>
      <c r="H17" s="5">
        <v>45399</v>
      </c>
      <c r="I17" s="4">
        <v>150</v>
      </c>
      <c r="J17" s="4">
        <v>0</v>
      </c>
      <c r="K17" s="4">
        <v>0</v>
      </c>
      <c r="L17" s="4"/>
      <c r="N17" s="5">
        <v>45366</v>
      </c>
      <c r="O17" s="4">
        <v>300</v>
      </c>
      <c r="P17" s="4">
        <v>150</v>
      </c>
      <c r="Q17" s="4"/>
      <c r="R17" s="4" t="s">
        <v>55</v>
      </c>
    </row>
    <row r="18" spans="2:18" x14ac:dyDescent="0.25">
      <c r="B18" s="4"/>
      <c r="C18" s="4"/>
      <c r="D18" s="4"/>
      <c r="E18" s="4"/>
      <c r="F18" s="4"/>
      <c r="H18" s="5">
        <v>45429</v>
      </c>
      <c r="I18" s="4">
        <v>150</v>
      </c>
      <c r="J18" s="4"/>
      <c r="K18" s="4"/>
      <c r="L18" s="4"/>
      <c r="N18" s="4" t="s">
        <v>56</v>
      </c>
      <c r="O18" s="4"/>
      <c r="P18" s="4">
        <v>150</v>
      </c>
      <c r="Q18" s="4">
        <f>P18+P17</f>
        <v>300</v>
      </c>
      <c r="R18" s="4" t="s">
        <v>57</v>
      </c>
    </row>
    <row r="19" spans="2:18" x14ac:dyDescent="0.25">
      <c r="B19" s="4"/>
      <c r="C19" s="4"/>
      <c r="D19" s="4"/>
      <c r="E19" s="4"/>
      <c r="F19" s="4"/>
      <c r="H19" s="5">
        <v>45454</v>
      </c>
      <c r="I19" s="4">
        <v>150</v>
      </c>
      <c r="J19" s="4"/>
      <c r="K19" s="4"/>
      <c r="L19" s="4" t="s">
        <v>70</v>
      </c>
      <c r="N19" s="4" t="s">
        <v>61</v>
      </c>
      <c r="O19" s="4"/>
      <c r="P19" s="4">
        <v>150</v>
      </c>
      <c r="Q19" s="4">
        <f>Q18+P19</f>
        <v>450</v>
      </c>
      <c r="R19" s="4" t="s">
        <v>71</v>
      </c>
    </row>
    <row r="20" spans="2:18" x14ac:dyDescent="0.25">
      <c r="B20" s="4"/>
      <c r="C20" s="4"/>
      <c r="D20" s="4"/>
      <c r="E20" s="4"/>
      <c r="F20" s="4"/>
      <c r="H20" s="5">
        <v>45514</v>
      </c>
      <c r="I20" s="4">
        <v>150</v>
      </c>
      <c r="J20" s="4"/>
      <c r="K20" s="4"/>
      <c r="L20" s="4"/>
      <c r="N20" s="4" t="s">
        <v>62</v>
      </c>
      <c r="O20" s="4"/>
      <c r="P20" s="4">
        <v>150</v>
      </c>
      <c r="Q20" s="4">
        <f>Q19+P20</f>
        <v>600</v>
      </c>
      <c r="R20" s="4" t="s">
        <v>71</v>
      </c>
    </row>
    <row r="21" spans="2:18" x14ac:dyDescent="0.25">
      <c r="B21" s="4"/>
      <c r="C21" s="4"/>
      <c r="D21" s="4"/>
      <c r="E21" s="4"/>
      <c r="F21" s="4"/>
      <c r="H21" s="5">
        <v>45545</v>
      </c>
      <c r="I21" s="4">
        <v>150</v>
      </c>
      <c r="J21" s="4"/>
      <c r="K21" s="4"/>
      <c r="L21" s="4"/>
      <c r="N21" s="4" t="s">
        <v>63</v>
      </c>
      <c r="O21" s="4"/>
      <c r="P21" s="4"/>
      <c r="Q21" s="4">
        <f>Q20+P21</f>
        <v>600</v>
      </c>
      <c r="R21" s="4" t="s">
        <v>72</v>
      </c>
    </row>
    <row r="22" spans="2:18" x14ac:dyDescent="0.25">
      <c r="B22" s="4"/>
      <c r="C22" s="4"/>
      <c r="D22" s="4"/>
      <c r="E22" s="4"/>
      <c r="F22" s="4"/>
      <c r="H22" s="5">
        <v>45575</v>
      </c>
      <c r="I22" s="4">
        <v>150</v>
      </c>
      <c r="J22" s="4"/>
      <c r="K22" s="4"/>
      <c r="L22" s="4"/>
      <c r="N22" s="4" t="s">
        <v>63</v>
      </c>
      <c r="O22" s="4">
        <v>150</v>
      </c>
      <c r="P22" s="4">
        <f>Q21-O22</f>
        <v>450</v>
      </c>
      <c r="Q22" s="4">
        <v>450</v>
      </c>
      <c r="R22" s="4" t="s">
        <v>64</v>
      </c>
    </row>
    <row r="23" spans="2:18" x14ac:dyDescent="0.25">
      <c r="B23" s="4"/>
      <c r="C23" s="4"/>
      <c r="D23" s="4"/>
      <c r="E23" s="4"/>
      <c r="F23" s="4"/>
      <c r="H23" s="5">
        <v>45606</v>
      </c>
      <c r="I23" s="4">
        <v>150</v>
      </c>
      <c r="J23" s="4"/>
      <c r="K23" s="4"/>
      <c r="L23" s="4"/>
      <c r="N23" s="4" t="s">
        <v>29</v>
      </c>
      <c r="O23" s="4">
        <v>200</v>
      </c>
      <c r="P23" s="4">
        <v>250</v>
      </c>
      <c r="Q23" s="4">
        <v>250</v>
      </c>
      <c r="R23" s="4" t="s">
        <v>73</v>
      </c>
    </row>
    <row r="24" spans="2:18" x14ac:dyDescent="0.25">
      <c r="B24" s="4"/>
      <c r="C24" s="4"/>
      <c r="D24" s="4"/>
      <c r="E24" s="4"/>
      <c r="F24" s="4"/>
      <c r="H24" s="5">
        <v>45641</v>
      </c>
      <c r="I24" s="4">
        <v>150</v>
      </c>
      <c r="J24" s="4"/>
      <c r="K24" s="4"/>
      <c r="L24" s="4"/>
      <c r="N24" s="3" t="s">
        <v>3</v>
      </c>
      <c r="O24" s="3" t="s">
        <v>15</v>
      </c>
      <c r="P24" s="3" t="s">
        <v>16</v>
      </c>
      <c r="Q24" s="7" t="s">
        <v>24</v>
      </c>
      <c r="R24" s="3" t="s">
        <v>17</v>
      </c>
    </row>
    <row r="25" spans="2:18" x14ac:dyDescent="0.25">
      <c r="B25" s="4"/>
      <c r="C25" s="4"/>
      <c r="D25" s="4"/>
      <c r="E25" s="4"/>
      <c r="F25" s="4"/>
      <c r="H25" s="5"/>
      <c r="I25" s="4"/>
      <c r="J25" s="4"/>
      <c r="K25" s="4"/>
      <c r="L25" s="4"/>
      <c r="N25" s="68">
        <v>2024</v>
      </c>
      <c r="O25" s="69"/>
      <c r="P25" s="69"/>
      <c r="Q25" s="69"/>
      <c r="R25" s="70"/>
    </row>
    <row r="26" spans="2:18" x14ac:dyDescent="0.25">
      <c r="B26" s="4"/>
      <c r="C26" s="4"/>
      <c r="D26" s="4"/>
      <c r="E26" s="4"/>
      <c r="F26" s="4"/>
      <c r="H26" s="5">
        <v>45675</v>
      </c>
      <c r="I26" s="4">
        <v>150</v>
      </c>
      <c r="J26" s="4"/>
      <c r="K26" s="4"/>
      <c r="L26" s="4"/>
      <c r="N26" s="4" t="s">
        <v>56</v>
      </c>
      <c r="O26" s="4"/>
      <c r="P26" s="4">
        <v>150</v>
      </c>
      <c r="Q26" s="4">
        <v>300</v>
      </c>
      <c r="R26" s="4" t="s">
        <v>57</v>
      </c>
    </row>
    <row r="27" spans="2:18" x14ac:dyDescent="0.25">
      <c r="B27" s="4"/>
      <c r="C27" s="4"/>
      <c r="D27" s="4"/>
      <c r="E27" s="4"/>
      <c r="F27" s="4"/>
      <c r="H27" s="5">
        <v>45701</v>
      </c>
      <c r="I27" s="4">
        <v>150</v>
      </c>
      <c r="J27" s="4"/>
      <c r="K27" s="4"/>
      <c r="L27" s="4"/>
      <c r="N27" s="4" t="s">
        <v>61</v>
      </c>
      <c r="O27" s="4"/>
      <c r="P27" s="4">
        <v>150</v>
      </c>
      <c r="Q27" s="4">
        <v>450</v>
      </c>
      <c r="R27" s="4" t="s">
        <v>71</v>
      </c>
    </row>
    <row r="28" spans="2:18" x14ac:dyDescent="0.25">
      <c r="B28" s="4"/>
      <c r="C28" s="4"/>
      <c r="D28" s="4"/>
      <c r="E28" s="4"/>
      <c r="F28" s="4"/>
      <c r="H28" s="5">
        <v>45726</v>
      </c>
      <c r="I28" s="4">
        <v>150</v>
      </c>
      <c r="J28" s="4"/>
      <c r="K28" s="4"/>
      <c r="L28" s="4"/>
      <c r="N28" s="4" t="s">
        <v>62</v>
      </c>
      <c r="O28" s="4"/>
      <c r="P28" s="4">
        <v>150</v>
      </c>
      <c r="Q28" s="4">
        <v>600</v>
      </c>
      <c r="R28" s="4" t="s">
        <v>71</v>
      </c>
    </row>
    <row r="29" spans="2:18" x14ac:dyDescent="0.25">
      <c r="B29" s="4"/>
      <c r="C29" s="4"/>
      <c r="D29" s="4"/>
      <c r="E29" s="4"/>
      <c r="F29" s="4"/>
      <c r="H29" s="5">
        <v>45762</v>
      </c>
      <c r="I29" s="4">
        <v>150</v>
      </c>
      <c r="J29" s="4"/>
      <c r="K29" s="4"/>
      <c r="L29" s="4"/>
      <c r="N29" s="4" t="s">
        <v>63</v>
      </c>
      <c r="O29" s="4"/>
      <c r="P29" s="4"/>
      <c r="Q29" s="4">
        <v>600</v>
      </c>
      <c r="R29" s="4" t="s">
        <v>72</v>
      </c>
    </row>
    <row r="30" spans="2:18" x14ac:dyDescent="0.25">
      <c r="B30" s="4"/>
      <c r="C30" s="4"/>
      <c r="D30" s="4"/>
      <c r="E30" s="4"/>
      <c r="F30" s="4"/>
      <c r="H30" s="5">
        <v>45791</v>
      </c>
      <c r="I30" s="4">
        <v>150</v>
      </c>
      <c r="J30" s="4"/>
      <c r="K30" s="4"/>
      <c r="L30" s="4"/>
      <c r="N30" s="4" t="s">
        <v>63</v>
      </c>
      <c r="O30" s="4">
        <v>150</v>
      </c>
      <c r="P30" s="4">
        <v>450</v>
      </c>
      <c r="Q30" s="4">
        <v>450</v>
      </c>
      <c r="R30" s="4" t="s">
        <v>64</v>
      </c>
    </row>
    <row r="31" spans="2:18" x14ac:dyDescent="0.25">
      <c r="B31" s="4"/>
      <c r="C31" s="4"/>
      <c r="D31" s="4"/>
      <c r="E31" s="4"/>
      <c r="F31" s="4"/>
      <c r="H31" s="5">
        <v>45819</v>
      </c>
      <c r="I31" s="4">
        <v>150</v>
      </c>
      <c r="J31" s="4"/>
      <c r="K31" s="4"/>
      <c r="L31" s="4"/>
      <c r="N31" s="4" t="s">
        <v>29</v>
      </c>
      <c r="O31" s="4">
        <v>200</v>
      </c>
      <c r="P31" s="4">
        <v>250</v>
      </c>
      <c r="Q31" s="4">
        <v>250</v>
      </c>
      <c r="R31" s="4" t="s">
        <v>73</v>
      </c>
    </row>
    <row r="32" spans="2:18" x14ac:dyDescent="0.25">
      <c r="B32" s="4"/>
      <c r="C32" s="4"/>
      <c r="D32" s="4"/>
      <c r="E32" s="4"/>
      <c r="F32" s="4"/>
      <c r="H32" s="5">
        <v>45848</v>
      </c>
      <c r="I32" s="4">
        <v>150</v>
      </c>
      <c r="J32" s="4"/>
      <c r="K32" s="4"/>
      <c r="L32" s="4"/>
      <c r="N32" s="21" t="s">
        <v>31</v>
      </c>
      <c r="O32" s="21">
        <v>0</v>
      </c>
      <c r="P32" s="21">
        <v>250</v>
      </c>
      <c r="Q32" s="21">
        <v>400</v>
      </c>
      <c r="R32" s="21" t="s">
        <v>79</v>
      </c>
    </row>
    <row r="33" spans="2:18" x14ac:dyDescent="0.25">
      <c r="B33" s="4"/>
      <c r="C33" s="4"/>
      <c r="D33" s="4"/>
      <c r="E33" s="4"/>
      <c r="F33" s="4"/>
      <c r="H33" s="5">
        <v>45885</v>
      </c>
      <c r="I33" s="4">
        <v>150</v>
      </c>
      <c r="J33" s="4"/>
      <c r="K33" s="4"/>
      <c r="L33" s="4"/>
      <c r="N33" s="21" t="s">
        <v>39</v>
      </c>
      <c r="O33" s="21">
        <v>0</v>
      </c>
      <c r="P33" s="21">
        <v>400</v>
      </c>
      <c r="Q33" s="21">
        <v>550</v>
      </c>
      <c r="R33" s="21"/>
    </row>
    <row r="34" spans="2:18" x14ac:dyDescent="0.25">
      <c r="B34" s="4"/>
      <c r="C34" s="4"/>
      <c r="D34" s="4"/>
      <c r="E34" s="4"/>
      <c r="F34" s="4"/>
      <c r="H34" s="5">
        <v>45918</v>
      </c>
      <c r="I34" s="4">
        <v>150</v>
      </c>
      <c r="J34" s="4"/>
      <c r="K34" s="4"/>
      <c r="L34" s="4"/>
      <c r="N34" s="21" t="s">
        <v>80</v>
      </c>
      <c r="O34" s="21">
        <v>0</v>
      </c>
      <c r="P34" s="21">
        <v>550</v>
      </c>
      <c r="Q34" s="21">
        <v>700</v>
      </c>
      <c r="R34" s="21" t="s">
        <v>82</v>
      </c>
    </row>
    <row r="35" spans="2:18" x14ac:dyDescent="0.25">
      <c r="B35" s="4"/>
      <c r="C35" s="4"/>
      <c r="D35" s="4"/>
      <c r="E35" s="4"/>
      <c r="F35" s="4"/>
      <c r="H35" s="5">
        <v>45947</v>
      </c>
      <c r="I35" s="4">
        <v>150</v>
      </c>
      <c r="J35" s="4"/>
      <c r="K35" s="4"/>
      <c r="L35" s="4"/>
      <c r="N35" s="21" t="s">
        <v>83</v>
      </c>
      <c r="O35" s="21">
        <v>700</v>
      </c>
      <c r="P35" s="21">
        <v>150</v>
      </c>
      <c r="Q35" s="21">
        <v>850</v>
      </c>
      <c r="R35" s="4" t="s">
        <v>71</v>
      </c>
    </row>
    <row r="36" spans="2:18" x14ac:dyDescent="0.25">
      <c r="B36" s="4"/>
      <c r="C36" s="4"/>
      <c r="D36" s="4"/>
      <c r="E36" s="4"/>
      <c r="F36" s="4"/>
      <c r="H36" s="4"/>
      <c r="I36" s="4"/>
      <c r="J36" s="4"/>
      <c r="K36" s="4"/>
      <c r="L36" s="4"/>
      <c r="N36" s="65" t="s">
        <v>90</v>
      </c>
      <c r="O36" s="66"/>
      <c r="P36" s="66"/>
      <c r="Q36" s="66"/>
      <c r="R36" s="67"/>
    </row>
    <row r="37" spans="2:18" x14ac:dyDescent="0.25">
      <c r="B37" s="4"/>
      <c r="C37" s="4"/>
      <c r="D37" s="4"/>
      <c r="E37" s="4"/>
      <c r="F37" s="4"/>
      <c r="H37" s="4"/>
      <c r="I37" s="4"/>
      <c r="J37" s="4"/>
      <c r="K37" s="4"/>
      <c r="L37" s="4"/>
      <c r="N37" s="22" t="s">
        <v>84</v>
      </c>
      <c r="O37" s="22" t="s">
        <v>85</v>
      </c>
      <c r="P37" s="22" t="s">
        <v>86</v>
      </c>
      <c r="Q37" s="22" t="s">
        <v>16</v>
      </c>
      <c r="R37" s="22" t="s">
        <v>17</v>
      </c>
    </row>
    <row r="38" spans="2:18" x14ac:dyDescent="0.25">
      <c r="B38" s="4"/>
      <c r="C38" s="4"/>
      <c r="D38" s="4"/>
      <c r="E38" s="4"/>
      <c r="F38" s="4"/>
      <c r="H38" s="4"/>
      <c r="I38" s="4"/>
      <c r="J38" s="4"/>
      <c r="K38" s="4"/>
      <c r="L38" s="4"/>
      <c r="N38" s="4" t="s">
        <v>53</v>
      </c>
      <c r="O38" s="4">
        <v>0</v>
      </c>
      <c r="P38" s="4">
        <v>150</v>
      </c>
      <c r="Q38" s="4">
        <v>1000</v>
      </c>
      <c r="R38" s="4" t="s">
        <v>88</v>
      </c>
    </row>
    <row r="39" spans="2:18" x14ac:dyDescent="0.25">
      <c r="B39" s="4"/>
      <c r="C39" s="4"/>
      <c r="D39" s="4"/>
      <c r="E39" s="4"/>
      <c r="F39" s="4"/>
      <c r="H39" s="4"/>
      <c r="I39" s="4"/>
      <c r="J39" s="4"/>
      <c r="K39" s="4"/>
      <c r="L39" s="4"/>
      <c r="N39" s="4" t="s">
        <v>52</v>
      </c>
      <c r="O39" s="4">
        <v>0</v>
      </c>
      <c r="P39" s="4">
        <v>150</v>
      </c>
      <c r="Q39" s="4">
        <v>1150</v>
      </c>
      <c r="R39" s="4" t="s">
        <v>89</v>
      </c>
    </row>
    <row r="40" spans="2:18" x14ac:dyDescent="0.25">
      <c r="N40" s="4" t="s">
        <v>58</v>
      </c>
      <c r="O40" s="4">
        <v>400</v>
      </c>
      <c r="P40" s="4">
        <v>150</v>
      </c>
      <c r="Q40" s="4">
        <v>900</v>
      </c>
      <c r="R40" s="23" t="s">
        <v>87</v>
      </c>
    </row>
    <row r="41" spans="2:18" ht="18.75" x14ac:dyDescent="0.3">
      <c r="N41" s="4" t="s">
        <v>59</v>
      </c>
      <c r="O41" s="4">
        <v>300</v>
      </c>
      <c r="P41" s="4">
        <v>150</v>
      </c>
      <c r="Q41" s="25">
        <v>550</v>
      </c>
      <c r="R41" s="24" t="s">
        <v>91</v>
      </c>
    </row>
    <row r="42" spans="2:18" x14ac:dyDescent="0.25">
      <c r="N42" s="5">
        <v>45784</v>
      </c>
      <c r="O42" s="21">
        <v>500</v>
      </c>
      <c r="P42" s="21">
        <v>150</v>
      </c>
      <c r="Q42" s="21">
        <v>50</v>
      </c>
      <c r="R42" s="21" t="s">
        <v>131</v>
      </c>
    </row>
    <row r="43" spans="2:18" x14ac:dyDescent="0.25">
      <c r="B43" t="s">
        <v>111</v>
      </c>
      <c r="C43">
        <v>119</v>
      </c>
      <c r="N43" s="4" t="s">
        <v>65</v>
      </c>
      <c r="O43" s="21">
        <v>0</v>
      </c>
      <c r="P43" s="21">
        <v>150</v>
      </c>
      <c r="Q43" s="21"/>
      <c r="R43" s="21" t="s">
        <v>170</v>
      </c>
    </row>
    <row r="44" spans="2:18" x14ac:dyDescent="0.25">
      <c r="B44" s="30" t="s">
        <v>92</v>
      </c>
      <c r="C44" s="30" t="s">
        <v>106</v>
      </c>
      <c r="D44" s="30"/>
      <c r="E44" s="30" t="s">
        <v>96</v>
      </c>
      <c r="F44" s="30" t="s">
        <v>156</v>
      </c>
      <c r="G44" s="30" t="s">
        <v>109</v>
      </c>
      <c r="N44" s="4" t="s">
        <v>63</v>
      </c>
      <c r="O44" s="21">
        <v>0</v>
      </c>
      <c r="P44" s="21">
        <v>150</v>
      </c>
      <c r="Q44" s="21"/>
      <c r="R44" s="21" t="s">
        <v>170</v>
      </c>
    </row>
    <row r="45" spans="2:18" x14ac:dyDescent="0.25">
      <c r="B45" s="30" t="s">
        <v>7</v>
      </c>
      <c r="C45" s="30" t="s">
        <v>128</v>
      </c>
      <c r="D45" s="30"/>
      <c r="E45" s="30"/>
      <c r="F45" s="30"/>
      <c r="N45" s="4" t="s">
        <v>29</v>
      </c>
      <c r="O45" s="21">
        <v>0</v>
      </c>
      <c r="P45" s="21">
        <v>150</v>
      </c>
      <c r="Q45" s="21"/>
      <c r="R45" s="21" t="s">
        <v>169</v>
      </c>
    </row>
    <row r="46" spans="2:18" x14ac:dyDescent="0.25">
      <c r="B46" s="30" t="s">
        <v>93</v>
      </c>
      <c r="C46" s="30" t="s">
        <v>107</v>
      </c>
      <c r="D46" s="38"/>
      <c r="E46" s="30"/>
      <c r="F46" s="30"/>
      <c r="N46" s="21" t="s">
        <v>31</v>
      </c>
      <c r="O46" s="21">
        <v>200</v>
      </c>
      <c r="P46" s="21">
        <v>250</v>
      </c>
      <c r="Q46" s="21"/>
      <c r="R46" s="21" t="s">
        <v>178</v>
      </c>
    </row>
    <row r="47" spans="2:18" x14ac:dyDescent="0.25">
      <c r="B47" s="30" t="s">
        <v>0</v>
      </c>
      <c r="C47" s="31" t="s">
        <v>126</v>
      </c>
      <c r="D47" s="32"/>
      <c r="E47" s="33" t="s">
        <v>20</v>
      </c>
      <c r="F47" s="30">
        <v>73428008</v>
      </c>
      <c r="N47" s="21" t="s">
        <v>39</v>
      </c>
      <c r="O47" s="21">
        <v>0</v>
      </c>
      <c r="P47" s="21">
        <v>400</v>
      </c>
      <c r="Q47" s="21"/>
      <c r="R47" s="21" t="s">
        <v>179</v>
      </c>
    </row>
    <row r="48" spans="2:18" x14ac:dyDescent="0.25">
      <c r="B48" s="30" t="s">
        <v>98</v>
      </c>
      <c r="C48" s="34">
        <v>0.33333333333333331</v>
      </c>
      <c r="D48" s="30" t="s">
        <v>99</v>
      </c>
      <c r="E48" s="34">
        <v>0.25</v>
      </c>
      <c r="F48" s="30"/>
      <c r="N48" s="21"/>
      <c r="O48" s="21"/>
      <c r="P48" s="21"/>
      <c r="Q48" s="21"/>
      <c r="R48" s="21"/>
    </row>
    <row r="49" spans="2:18" x14ac:dyDescent="0.25">
      <c r="B49" s="35" t="s">
        <v>3</v>
      </c>
      <c r="C49" s="35" t="s">
        <v>15</v>
      </c>
      <c r="D49" s="35" t="s">
        <v>24</v>
      </c>
      <c r="E49" s="35" t="s">
        <v>16</v>
      </c>
      <c r="F49" s="35" t="s">
        <v>17</v>
      </c>
      <c r="N49" s="21"/>
      <c r="O49" s="21"/>
      <c r="P49" s="21"/>
      <c r="Q49" s="21"/>
      <c r="R49" s="21"/>
    </row>
    <row r="50" spans="2:18" x14ac:dyDescent="0.25">
      <c r="B50" s="26">
        <v>45746</v>
      </c>
      <c r="C50" s="27"/>
      <c r="D50" s="27"/>
      <c r="E50" s="27"/>
      <c r="F50" s="27" t="s">
        <v>108</v>
      </c>
      <c r="N50" s="21"/>
      <c r="O50" s="21"/>
      <c r="P50" s="21"/>
      <c r="Q50" s="21"/>
      <c r="R50" s="21"/>
    </row>
    <row r="51" spans="2:18" x14ac:dyDescent="0.25">
      <c r="B51" s="42">
        <v>45778</v>
      </c>
      <c r="C51" s="21">
        <v>150</v>
      </c>
      <c r="D51" s="21">
        <v>0</v>
      </c>
      <c r="E51" s="21">
        <v>0</v>
      </c>
      <c r="F51" s="21" t="s">
        <v>130</v>
      </c>
      <c r="N51" s="21"/>
      <c r="O51" s="21"/>
      <c r="P51" s="21"/>
      <c r="Q51" s="21"/>
      <c r="R51" s="21"/>
    </row>
    <row r="52" spans="2:18" x14ac:dyDescent="0.25">
      <c r="B52" s="55">
        <v>45810</v>
      </c>
      <c r="C52" s="21">
        <v>150</v>
      </c>
      <c r="D52" s="21">
        <v>0</v>
      </c>
      <c r="E52" s="21"/>
      <c r="F52" s="21"/>
      <c r="J52" s="56"/>
      <c r="N52" s="21"/>
      <c r="O52" s="21"/>
      <c r="P52" s="21"/>
      <c r="Q52" s="21"/>
      <c r="R52" s="21"/>
    </row>
    <row r="53" spans="2:18" x14ac:dyDescent="0.25">
      <c r="B53" s="42">
        <v>45841</v>
      </c>
      <c r="C53" s="21">
        <v>150</v>
      </c>
      <c r="D53" s="21">
        <v>0</v>
      </c>
      <c r="E53" s="21"/>
      <c r="F53" s="21"/>
      <c r="N53" s="21"/>
      <c r="O53" s="21"/>
      <c r="P53" s="21"/>
      <c r="Q53" s="21"/>
      <c r="R53" s="21"/>
    </row>
    <row r="54" spans="2:18" x14ac:dyDescent="0.25">
      <c r="B54" s="42">
        <v>45872</v>
      </c>
      <c r="C54" s="21">
        <v>150</v>
      </c>
      <c r="D54" s="21">
        <v>0</v>
      </c>
      <c r="E54" s="21"/>
      <c r="F54" s="21"/>
      <c r="N54" s="21"/>
      <c r="O54" s="21"/>
      <c r="P54" s="21"/>
      <c r="Q54" s="21"/>
      <c r="R54" s="21"/>
    </row>
    <row r="55" spans="2:18" x14ac:dyDescent="0.25">
      <c r="B55" s="42">
        <v>45910</v>
      </c>
      <c r="C55" s="21">
        <v>150</v>
      </c>
      <c r="D55" s="21">
        <v>0</v>
      </c>
      <c r="E55" s="21"/>
      <c r="F55" s="21"/>
      <c r="N55" s="21"/>
      <c r="O55" s="21"/>
      <c r="P55" s="21"/>
      <c r="Q55" s="21"/>
      <c r="R55" s="21"/>
    </row>
    <row r="56" spans="2:18" x14ac:dyDescent="0.25">
      <c r="B56" s="42">
        <v>45932</v>
      </c>
      <c r="C56" s="21">
        <v>150</v>
      </c>
      <c r="D56" s="21">
        <v>0</v>
      </c>
      <c r="E56" s="21"/>
      <c r="F56" s="21"/>
      <c r="N56" s="21"/>
      <c r="O56" s="21"/>
      <c r="P56" s="21"/>
      <c r="Q56" s="21"/>
      <c r="R56" s="21"/>
    </row>
    <row r="57" spans="2:18" x14ac:dyDescent="0.25">
      <c r="B57" s="21"/>
      <c r="C57" s="21"/>
      <c r="D57" s="21"/>
      <c r="E57" s="21"/>
      <c r="F57" s="21"/>
      <c r="N57" s="21"/>
      <c r="O57" s="21"/>
      <c r="P57" s="21"/>
      <c r="Q57" s="21"/>
      <c r="R57" s="21"/>
    </row>
    <row r="58" spans="2:18" x14ac:dyDescent="0.25">
      <c r="B58" s="21"/>
      <c r="C58" s="21"/>
      <c r="D58" s="21"/>
      <c r="E58" s="21"/>
      <c r="F58" s="21"/>
      <c r="N58" s="21"/>
      <c r="O58" s="21"/>
      <c r="P58" s="21"/>
      <c r="Q58" s="21"/>
      <c r="R58" s="21"/>
    </row>
    <row r="59" spans="2:18" x14ac:dyDescent="0.25">
      <c r="B59" s="21"/>
      <c r="C59" s="21"/>
      <c r="D59" s="21"/>
      <c r="E59" s="21"/>
      <c r="F59" s="21"/>
    </row>
    <row r="60" spans="2:18" x14ac:dyDescent="0.25">
      <c r="B60" s="21"/>
      <c r="C60" s="21"/>
      <c r="D60" s="21"/>
      <c r="E60" s="21"/>
      <c r="F60" s="21"/>
    </row>
    <row r="61" spans="2:18" x14ac:dyDescent="0.25">
      <c r="B61" s="21"/>
      <c r="C61" s="21"/>
      <c r="D61" s="21"/>
      <c r="E61" s="21"/>
      <c r="F61" s="21"/>
    </row>
    <row r="62" spans="2:18" x14ac:dyDescent="0.25">
      <c r="B62" s="21"/>
      <c r="C62" s="21"/>
      <c r="D62" s="21"/>
      <c r="E62" s="21"/>
      <c r="F62" s="21"/>
    </row>
    <row r="63" spans="2:18" x14ac:dyDescent="0.25">
      <c r="B63" s="21"/>
      <c r="C63" s="21"/>
      <c r="D63" s="21"/>
      <c r="E63" s="21"/>
      <c r="F63" s="21"/>
    </row>
    <row r="64" spans="2:18" x14ac:dyDescent="0.25">
      <c r="B64" s="21"/>
      <c r="C64" s="21"/>
      <c r="D64" s="21"/>
      <c r="E64" s="21"/>
      <c r="F64" s="21"/>
    </row>
    <row r="65" spans="2:6" x14ac:dyDescent="0.25">
      <c r="B65" s="21"/>
      <c r="C65" s="21"/>
      <c r="D65" s="21"/>
      <c r="E65" s="21"/>
      <c r="F65" s="21"/>
    </row>
    <row r="66" spans="2:6" x14ac:dyDescent="0.25">
      <c r="B66" s="21"/>
      <c r="C66" s="21"/>
      <c r="D66" s="21"/>
      <c r="E66" s="21"/>
      <c r="F66" s="21"/>
    </row>
    <row r="67" spans="2:6" x14ac:dyDescent="0.25">
      <c r="B67" s="21"/>
      <c r="C67" s="21"/>
      <c r="D67" s="21"/>
      <c r="E67" s="21"/>
      <c r="F67" s="21"/>
    </row>
    <row r="68" spans="2:6" x14ac:dyDescent="0.25">
      <c r="B68" s="21"/>
      <c r="C68" s="21"/>
      <c r="D68" s="21"/>
      <c r="E68" s="21"/>
      <c r="F68" s="21"/>
    </row>
    <row r="69" spans="2:6" x14ac:dyDescent="0.25">
      <c r="B69" s="21"/>
      <c r="C69" s="21"/>
      <c r="D69" s="21"/>
      <c r="E69" s="21"/>
      <c r="F69" s="21"/>
    </row>
    <row r="70" spans="2:6" x14ac:dyDescent="0.25">
      <c r="B70" s="21"/>
      <c r="C70" s="21"/>
      <c r="D70" s="21"/>
      <c r="E70" s="21"/>
      <c r="F70" s="21"/>
    </row>
    <row r="71" spans="2:6" x14ac:dyDescent="0.25">
      <c r="B71" s="21"/>
      <c r="C71" s="21"/>
      <c r="D71" s="21"/>
      <c r="E71" s="21"/>
      <c r="F71" s="21"/>
    </row>
    <row r="72" spans="2:6" x14ac:dyDescent="0.25">
      <c r="B72" s="21"/>
      <c r="C72" s="21"/>
      <c r="D72" s="21"/>
      <c r="E72" s="21"/>
      <c r="F72" s="21"/>
    </row>
    <row r="73" spans="2:6" x14ac:dyDescent="0.25">
      <c r="B73" s="21"/>
      <c r="C73" s="21"/>
      <c r="D73" s="21"/>
      <c r="E73" s="21"/>
      <c r="F73" s="21"/>
    </row>
    <row r="74" spans="2:6" x14ac:dyDescent="0.25">
      <c r="B74" s="21"/>
      <c r="C74" s="21"/>
      <c r="D74" s="21"/>
      <c r="E74" s="21"/>
      <c r="F74" s="21"/>
    </row>
    <row r="75" spans="2:6" x14ac:dyDescent="0.25">
      <c r="B75" s="21"/>
      <c r="C75" s="21"/>
      <c r="D75" s="21"/>
      <c r="E75" s="21"/>
      <c r="F75" s="21"/>
    </row>
    <row r="76" spans="2:6" x14ac:dyDescent="0.25">
      <c r="B76" s="21"/>
      <c r="C76" s="21"/>
      <c r="D76" s="21"/>
      <c r="E76" s="21"/>
      <c r="F76" s="21"/>
    </row>
    <row r="77" spans="2:6" x14ac:dyDescent="0.25">
      <c r="B77" s="21"/>
      <c r="C77" s="21"/>
      <c r="D77" s="21"/>
      <c r="E77" s="21"/>
      <c r="F77" s="21"/>
    </row>
    <row r="78" spans="2:6" x14ac:dyDescent="0.25">
      <c r="B78" s="21"/>
      <c r="C78" s="21"/>
      <c r="D78" s="21"/>
      <c r="E78" s="21"/>
      <c r="F78" s="21"/>
    </row>
    <row r="79" spans="2:6" x14ac:dyDescent="0.25">
      <c r="B79" s="21"/>
      <c r="C79" s="21"/>
      <c r="D79" s="21"/>
      <c r="E79" s="21"/>
      <c r="F79" s="21"/>
    </row>
    <row r="80" spans="2:6" x14ac:dyDescent="0.25">
      <c r="B80" s="21"/>
      <c r="C80" s="21"/>
      <c r="D80" s="21"/>
      <c r="E80" s="21"/>
      <c r="F80" s="21"/>
    </row>
    <row r="81" spans="2:6" x14ac:dyDescent="0.25">
      <c r="B81" s="21"/>
      <c r="C81" s="21"/>
      <c r="D81" s="21"/>
      <c r="E81" s="21"/>
      <c r="F81" s="21"/>
    </row>
  </sheetData>
  <mergeCells count="2">
    <mergeCell ref="N36:R36"/>
    <mergeCell ref="N25:R25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74"/>
  <sheetViews>
    <sheetView topLeftCell="A35" workbookViewId="0">
      <selection activeCell="J42" sqref="J42"/>
    </sheetView>
  </sheetViews>
  <sheetFormatPr baseColWidth="10" defaultRowHeight="15" x14ac:dyDescent="0.25"/>
  <cols>
    <col min="3" max="3" width="14.140625" customWidth="1"/>
    <col min="4" max="4" width="15.42578125" customWidth="1"/>
    <col min="5" max="5" width="28.28515625" customWidth="1"/>
    <col min="6" max="6" width="5.5703125" customWidth="1"/>
    <col min="10" max="10" width="28.85546875" customWidth="1"/>
  </cols>
  <sheetData>
    <row r="3" spans="2:10" x14ac:dyDescent="0.25">
      <c r="B3" t="s">
        <v>7</v>
      </c>
      <c r="C3" s="11" t="s">
        <v>6</v>
      </c>
      <c r="G3" t="s">
        <v>7</v>
      </c>
      <c r="H3" s="10" t="s">
        <v>5</v>
      </c>
    </row>
    <row r="4" spans="2:10" x14ac:dyDescent="0.25">
      <c r="B4" t="s">
        <v>0</v>
      </c>
      <c r="C4" t="s">
        <v>37</v>
      </c>
      <c r="G4" t="s">
        <v>0</v>
      </c>
      <c r="H4" t="s">
        <v>36</v>
      </c>
    </row>
    <row r="6" spans="2:10" x14ac:dyDescent="0.25">
      <c r="B6" s="3" t="s">
        <v>3</v>
      </c>
      <c r="C6" s="3" t="s">
        <v>15</v>
      </c>
      <c r="D6" s="3" t="s">
        <v>16</v>
      </c>
      <c r="E6" s="3" t="s">
        <v>17</v>
      </c>
      <c r="G6" s="3" t="s">
        <v>3</v>
      </c>
      <c r="H6" s="3" t="s">
        <v>15</v>
      </c>
      <c r="I6" s="3" t="s">
        <v>16</v>
      </c>
      <c r="J6" s="3" t="s">
        <v>17</v>
      </c>
    </row>
    <row r="7" spans="2:10" x14ac:dyDescent="0.25">
      <c r="B7" s="18">
        <v>45146</v>
      </c>
      <c r="C7" s="19">
        <v>50</v>
      </c>
      <c r="D7" s="19">
        <v>10</v>
      </c>
      <c r="E7" s="19" t="s">
        <v>18</v>
      </c>
      <c r="G7" s="18">
        <v>45113</v>
      </c>
      <c r="H7" s="19"/>
      <c r="I7" s="19">
        <v>20</v>
      </c>
      <c r="J7" s="19" t="s">
        <v>19</v>
      </c>
    </row>
    <row r="8" spans="2:10" x14ac:dyDescent="0.25">
      <c r="B8" s="19" t="s">
        <v>29</v>
      </c>
      <c r="C8" s="19" t="s">
        <v>21</v>
      </c>
      <c r="D8" s="19">
        <v>50</v>
      </c>
      <c r="E8" s="19" t="s">
        <v>28</v>
      </c>
      <c r="G8" s="19" t="s">
        <v>29</v>
      </c>
      <c r="H8" s="19">
        <v>0</v>
      </c>
      <c r="I8" s="19">
        <v>50</v>
      </c>
      <c r="J8" s="19" t="s">
        <v>27</v>
      </c>
    </row>
    <row r="9" spans="2:10" x14ac:dyDescent="0.25">
      <c r="B9" s="18" t="s">
        <v>31</v>
      </c>
      <c r="C9" s="20" t="s">
        <v>21</v>
      </c>
      <c r="D9" s="19">
        <v>100</v>
      </c>
      <c r="E9" s="19" t="s">
        <v>43</v>
      </c>
      <c r="G9" s="19" t="s">
        <v>31</v>
      </c>
      <c r="H9" s="20">
        <v>0</v>
      </c>
      <c r="I9" s="19">
        <v>120</v>
      </c>
      <c r="J9" s="19" t="s">
        <v>38</v>
      </c>
    </row>
    <row r="10" spans="2:10" x14ac:dyDescent="0.25">
      <c r="B10" s="57">
        <v>45201</v>
      </c>
      <c r="C10" s="58">
        <v>50</v>
      </c>
      <c r="D10" s="58">
        <v>50</v>
      </c>
      <c r="E10" s="58"/>
      <c r="F10" s="59"/>
      <c r="G10" s="58" t="s">
        <v>39</v>
      </c>
      <c r="H10" s="58">
        <v>20</v>
      </c>
      <c r="I10" s="58">
        <v>100</v>
      </c>
      <c r="J10" s="58" t="s">
        <v>40</v>
      </c>
    </row>
    <row r="11" spans="2:10" x14ac:dyDescent="0.25">
      <c r="B11" s="57" t="s">
        <v>47</v>
      </c>
      <c r="C11" s="58">
        <v>50</v>
      </c>
      <c r="D11" s="58"/>
      <c r="E11" s="58"/>
      <c r="F11" s="59"/>
      <c r="G11" s="57">
        <v>45201</v>
      </c>
      <c r="H11" s="58">
        <v>25</v>
      </c>
      <c r="I11" s="58">
        <v>75</v>
      </c>
      <c r="J11" s="58" t="s">
        <v>41</v>
      </c>
    </row>
    <row r="12" spans="2:10" x14ac:dyDescent="0.25">
      <c r="B12" s="58" t="s">
        <v>48</v>
      </c>
      <c r="C12" s="58">
        <v>50</v>
      </c>
      <c r="D12" s="58">
        <v>150</v>
      </c>
      <c r="E12" s="58" t="s">
        <v>49</v>
      </c>
      <c r="F12" s="59"/>
      <c r="G12" s="57">
        <v>45209</v>
      </c>
      <c r="H12" s="58">
        <v>25</v>
      </c>
      <c r="I12" s="58">
        <v>50</v>
      </c>
      <c r="J12" s="58" t="s">
        <v>42</v>
      </c>
    </row>
    <row r="13" spans="2:10" x14ac:dyDescent="0.25">
      <c r="B13" s="58" t="s">
        <v>51</v>
      </c>
      <c r="C13" s="58">
        <v>50</v>
      </c>
      <c r="D13" s="58">
        <f>D12+C13</f>
        <v>200</v>
      </c>
      <c r="E13" s="58" t="s">
        <v>16</v>
      </c>
      <c r="F13" s="59"/>
      <c r="G13" s="58" t="s">
        <v>47</v>
      </c>
      <c r="H13" s="58">
        <v>50</v>
      </c>
      <c r="I13" s="58"/>
      <c r="J13" s="58"/>
    </row>
    <row r="14" spans="2:10" x14ac:dyDescent="0.25">
      <c r="B14" s="58" t="s">
        <v>52</v>
      </c>
      <c r="C14" s="58">
        <v>50</v>
      </c>
      <c r="D14" s="58">
        <f>D13+C14</f>
        <v>250</v>
      </c>
      <c r="E14" s="58" t="s">
        <v>16</v>
      </c>
      <c r="F14" s="59"/>
      <c r="G14" s="58" t="s">
        <v>48</v>
      </c>
      <c r="H14" s="58">
        <v>50</v>
      </c>
      <c r="I14" s="58">
        <v>150</v>
      </c>
      <c r="J14" s="58" t="s">
        <v>54</v>
      </c>
    </row>
    <row r="15" spans="2:10" x14ac:dyDescent="0.25">
      <c r="B15" s="58" t="s">
        <v>58</v>
      </c>
      <c r="C15" s="58">
        <v>50</v>
      </c>
      <c r="D15" s="58">
        <f t="shared" ref="D15:D17" si="0">D14+C15</f>
        <v>300</v>
      </c>
      <c r="E15" s="58" t="s">
        <v>16</v>
      </c>
      <c r="F15" s="59"/>
      <c r="G15" s="58" t="s">
        <v>53</v>
      </c>
      <c r="H15" s="58">
        <v>50</v>
      </c>
      <c r="I15" s="58">
        <f>H15+I14</f>
        <v>200</v>
      </c>
      <c r="J15" s="58" t="s">
        <v>54</v>
      </c>
    </row>
    <row r="16" spans="2:10" x14ac:dyDescent="0.25">
      <c r="B16" s="58" t="s">
        <v>59</v>
      </c>
      <c r="C16" s="58">
        <v>50</v>
      </c>
      <c r="D16" s="58">
        <f t="shared" si="0"/>
        <v>350</v>
      </c>
      <c r="E16" s="58" t="s">
        <v>16</v>
      </c>
      <c r="F16" s="59"/>
      <c r="G16" s="58" t="s">
        <v>52</v>
      </c>
      <c r="H16" s="58">
        <v>50</v>
      </c>
      <c r="I16" s="58">
        <f>H16+I15</f>
        <v>250</v>
      </c>
      <c r="J16" s="58" t="s">
        <v>54</v>
      </c>
    </row>
    <row r="17" spans="2:10" x14ac:dyDescent="0.25">
      <c r="B17" s="58" t="s">
        <v>60</v>
      </c>
      <c r="C17" s="58">
        <v>50</v>
      </c>
      <c r="D17" s="58">
        <f t="shared" si="0"/>
        <v>400</v>
      </c>
      <c r="E17" s="58" t="s">
        <v>16</v>
      </c>
      <c r="F17" s="59"/>
      <c r="G17" s="58" t="s">
        <v>58</v>
      </c>
      <c r="H17" s="58">
        <v>50</v>
      </c>
      <c r="I17" s="58">
        <f>H17+I16</f>
        <v>300</v>
      </c>
      <c r="J17" s="58" t="s">
        <v>54</v>
      </c>
    </row>
    <row r="18" spans="2:10" x14ac:dyDescent="0.25">
      <c r="B18" s="58" t="s">
        <v>65</v>
      </c>
      <c r="C18" s="58"/>
      <c r="D18" s="58"/>
      <c r="E18" s="58" t="s">
        <v>67</v>
      </c>
      <c r="F18" s="59"/>
      <c r="G18" s="58" t="s">
        <v>59</v>
      </c>
      <c r="H18" s="58">
        <v>50</v>
      </c>
      <c r="I18" s="58">
        <f>H18+I17</f>
        <v>350</v>
      </c>
      <c r="J18" s="58" t="s">
        <v>54</v>
      </c>
    </row>
    <row r="19" spans="2:10" x14ac:dyDescent="0.25">
      <c r="B19" s="58" t="s">
        <v>66</v>
      </c>
      <c r="C19" s="58"/>
      <c r="D19" s="58"/>
      <c r="E19" s="58" t="s">
        <v>67</v>
      </c>
      <c r="F19" s="59"/>
      <c r="G19" s="58" t="s">
        <v>60</v>
      </c>
      <c r="H19" s="58">
        <v>50</v>
      </c>
      <c r="I19" s="58">
        <f>H19+I18</f>
        <v>400</v>
      </c>
      <c r="J19" s="58" t="s">
        <v>54</v>
      </c>
    </row>
    <row r="20" spans="2:10" x14ac:dyDescent="0.25">
      <c r="B20" s="58" t="s">
        <v>66</v>
      </c>
      <c r="C20" s="58">
        <v>150</v>
      </c>
      <c r="D20" s="58">
        <v>250</v>
      </c>
      <c r="E20" s="58" t="s">
        <v>69</v>
      </c>
      <c r="F20" s="59"/>
      <c r="G20" s="58" t="s">
        <v>65</v>
      </c>
      <c r="H20" s="58"/>
      <c r="I20" s="58"/>
      <c r="J20" s="58" t="s">
        <v>67</v>
      </c>
    </row>
    <row r="21" spans="2:10" x14ac:dyDescent="0.25">
      <c r="B21" s="58" t="s">
        <v>29</v>
      </c>
      <c r="C21" s="58">
        <v>50</v>
      </c>
      <c r="D21" s="58">
        <v>300</v>
      </c>
      <c r="E21" s="58" t="s">
        <v>16</v>
      </c>
      <c r="F21" s="59"/>
      <c r="G21" s="58" t="s">
        <v>66</v>
      </c>
      <c r="H21" s="58"/>
      <c r="I21" s="58"/>
      <c r="J21" s="58" t="s">
        <v>68</v>
      </c>
    </row>
    <row r="22" spans="2:10" x14ac:dyDescent="0.25">
      <c r="B22" s="58"/>
      <c r="C22" s="58"/>
      <c r="D22" s="58"/>
      <c r="E22" s="58"/>
      <c r="F22" s="59"/>
      <c r="G22" s="58" t="s">
        <v>66</v>
      </c>
      <c r="H22" s="58">
        <v>150</v>
      </c>
      <c r="I22" s="58">
        <v>250</v>
      </c>
      <c r="J22" s="58" t="s">
        <v>69</v>
      </c>
    </row>
    <row r="23" spans="2:10" x14ac:dyDescent="0.25">
      <c r="B23" s="58"/>
      <c r="C23" s="58"/>
      <c r="D23" s="58"/>
      <c r="E23" s="58"/>
      <c r="F23" s="59"/>
      <c r="G23" s="58" t="s">
        <v>29</v>
      </c>
      <c r="H23" s="58">
        <v>50</v>
      </c>
      <c r="I23" s="58">
        <v>300</v>
      </c>
      <c r="J23" s="58" t="s">
        <v>16</v>
      </c>
    </row>
    <row r="24" spans="2:10" x14ac:dyDescent="0.25">
      <c r="B24" s="5">
        <v>45904</v>
      </c>
      <c r="C24" s="4"/>
      <c r="D24" s="4"/>
      <c r="E24" s="4" t="s">
        <v>171</v>
      </c>
      <c r="G24" s="5">
        <v>45905</v>
      </c>
      <c r="H24" s="4"/>
      <c r="I24" s="4"/>
      <c r="J24" s="4" t="s">
        <v>171</v>
      </c>
    </row>
    <row r="25" spans="2:10" x14ac:dyDescent="0.25">
      <c r="B25" s="4"/>
      <c r="C25" s="4"/>
      <c r="D25" s="4"/>
      <c r="E25" s="4"/>
      <c r="G25" s="4"/>
      <c r="H25" s="4"/>
      <c r="I25" s="4"/>
      <c r="J25" s="4"/>
    </row>
    <row r="26" spans="2:10" x14ac:dyDescent="0.25">
      <c r="B26" s="4"/>
      <c r="C26" s="4"/>
      <c r="D26" s="4"/>
      <c r="E26" s="4"/>
      <c r="G26" s="4"/>
      <c r="H26" s="4"/>
      <c r="I26" s="4"/>
      <c r="J26" s="4"/>
    </row>
    <row r="27" spans="2:10" x14ac:dyDescent="0.25">
      <c r="B27" s="4"/>
      <c r="C27" s="4"/>
      <c r="D27" s="4"/>
      <c r="E27" s="4"/>
      <c r="G27" s="4"/>
      <c r="H27" s="4"/>
      <c r="I27" s="4"/>
      <c r="J27" s="4"/>
    </row>
    <row r="28" spans="2:10" x14ac:dyDescent="0.25">
      <c r="B28" s="4"/>
      <c r="C28" s="4"/>
      <c r="D28" s="4"/>
      <c r="E28" s="4"/>
      <c r="G28" s="4"/>
      <c r="H28" s="4"/>
      <c r="I28" s="4"/>
      <c r="J28" s="4"/>
    </row>
    <row r="29" spans="2:10" x14ac:dyDescent="0.25">
      <c r="B29" s="4"/>
      <c r="C29" s="4"/>
      <c r="D29" s="4"/>
      <c r="E29" s="4"/>
      <c r="G29" s="4"/>
      <c r="H29" s="4"/>
      <c r="I29" s="4"/>
      <c r="J29" s="4"/>
    </row>
    <row r="30" spans="2:10" x14ac:dyDescent="0.25">
      <c r="B30" s="4"/>
      <c r="C30" s="4"/>
      <c r="D30" s="4"/>
      <c r="E30" s="4"/>
      <c r="G30" s="4"/>
      <c r="H30" s="4"/>
      <c r="I30" s="4"/>
      <c r="J30" s="4"/>
    </row>
    <row r="31" spans="2:10" x14ac:dyDescent="0.25">
      <c r="B31" s="4"/>
      <c r="C31" s="4"/>
      <c r="D31" s="4"/>
      <c r="E31" s="4"/>
      <c r="G31" s="4"/>
      <c r="H31" s="4"/>
      <c r="I31" s="4"/>
      <c r="J31" s="4"/>
    </row>
    <row r="32" spans="2:10" x14ac:dyDescent="0.25">
      <c r="B32" s="4"/>
      <c r="C32" s="4"/>
      <c r="D32" s="4"/>
      <c r="E32" s="4"/>
      <c r="G32" s="4"/>
      <c r="H32" s="4"/>
      <c r="I32" s="4"/>
      <c r="J32" s="4"/>
    </row>
    <row r="33" spans="2:10" x14ac:dyDescent="0.25">
      <c r="B33" s="4"/>
      <c r="C33" s="4"/>
      <c r="D33" s="4"/>
      <c r="E33" s="4"/>
      <c r="G33" s="4"/>
      <c r="H33" s="4"/>
      <c r="I33" s="4"/>
      <c r="J33" s="4"/>
    </row>
    <row r="34" spans="2:10" x14ac:dyDescent="0.25">
      <c r="B34" s="4"/>
      <c r="C34" s="4"/>
      <c r="D34" s="4"/>
      <c r="E34" s="4"/>
      <c r="G34" s="4"/>
      <c r="H34" s="4"/>
      <c r="I34" s="4"/>
      <c r="J34" s="4"/>
    </row>
    <row r="35" spans="2:10" x14ac:dyDescent="0.25">
      <c r="B35" s="4"/>
      <c r="C35" s="4"/>
      <c r="D35" s="4"/>
      <c r="E35" s="4"/>
      <c r="G35" s="4"/>
      <c r="H35" s="4"/>
      <c r="I35" s="4"/>
      <c r="J35" s="4"/>
    </row>
    <row r="36" spans="2:10" x14ac:dyDescent="0.25">
      <c r="B36" s="4"/>
      <c r="C36" s="4"/>
      <c r="D36" s="4"/>
      <c r="E36" s="4"/>
      <c r="G36" s="4"/>
      <c r="H36" s="4"/>
      <c r="I36" s="4"/>
      <c r="J36" s="4"/>
    </row>
    <row r="41" spans="2:10" x14ac:dyDescent="0.25">
      <c r="B41" t="s">
        <v>7</v>
      </c>
      <c r="C41" s="8" t="s">
        <v>11</v>
      </c>
      <c r="D41" t="s">
        <v>78</v>
      </c>
      <c r="E41" t="s">
        <v>74</v>
      </c>
      <c r="G41" t="s">
        <v>7</v>
      </c>
      <c r="H41" s="9" t="s">
        <v>172</v>
      </c>
      <c r="I41" t="s">
        <v>20</v>
      </c>
      <c r="J41" t="s">
        <v>26</v>
      </c>
    </row>
    <row r="42" spans="2:10" x14ac:dyDescent="0.25">
      <c r="B42" t="s">
        <v>0</v>
      </c>
      <c r="C42" t="s">
        <v>10</v>
      </c>
      <c r="E42" t="s">
        <v>76</v>
      </c>
      <c r="G42" t="s">
        <v>0</v>
      </c>
      <c r="H42" t="s">
        <v>173</v>
      </c>
      <c r="J42" t="s">
        <v>174</v>
      </c>
    </row>
    <row r="44" spans="2:10" x14ac:dyDescent="0.25">
      <c r="B44" s="3" t="s">
        <v>3</v>
      </c>
      <c r="C44" s="3" t="s">
        <v>15</v>
      </c>
      <c r="D44" s="3" t="s">
        <v>16</v>
      </c>
      <c r="E44" s="3" t="s">
        <v>17</v>
      </c>
      <c r="G44" s="3" t="s">
        <v>3</v>
      </c>
      <c r="H44" s="3" t="s">
        <v>15</v>
      </c>
      <c r="I44" s="3" t="s">
        <v>16</v>
      </c>
      <c r="J44" s="3" t="s">
        <v>17</v>
      </c>
    </row>
    <row r="45" spans="2:10" hidden="1" x14ac:dyDescent="0.25">
      <c r="B45" s="13">
        <v>45145</v>
      </c>
      <c r="C45" s="14">
        <v>50</v>
      </c>
      <c r="D45" s="14">
        <v>0</v>
      </c>
      <c r="E45" s="14" t="s">
        <v>21</v>
      </c>
      <c r="G45" s="16">
        <v>45132</v>
      </c>
      <c r="H45" s="17">
        <v>50</v>
      </c>
      <c r="I45" s="17">
        <v>0</v>
      </c>
      <c r="J45" s="17" t="s">
        <v>21</v>
      </c>
    </row>
    <row r="46" spans="2:10" hidden="1" x14ac:dyDescent="0.25">
      <c r="B46" s="13">
        <v>45177</v>
      </c>
      <c r="C46" s="14">
        <v>50</v>
      </c>
      <c r="D46" s="14">
        <v>0</v>
      </c>
      <c r="E46" s="14"/>
      <c r="G46" s="16">
        <v>45163</v>
      </c>
      <c r="H46" s="17">
        <v>50</v>
      </c>
      <c r="I46" s="17">
        <v>0</v>
      </c>
      <c r="J46" s="17"/>
    </row>
    <row r="47" spans="2:10" hidden="1" x14ac:dyDescent="0.25">
      <c r="B47" s="13">
        <v>45206</v>
      </c>
      <c r="C47" s="14">
        <v>50</v>
      </c>
      <c r="D47" s="14"/>
      <c r="E47" s="14"/>
      <c r="G47" s="16">
        <v>45196</v>
      </c>
      <c r="H47" s="17">
        <v>50</v>
      </c>
      <c r="I47" s="17"/>
      <c r="J47" s="17"/>
    </row>
    <row r="48" spans="2:10" hidden="1" x14ac:dyDescent="0.25">
      <c r="B48" s="13">
        <v>45232</v>
      </c>
      <c r="C48" s="14">
        <v>50</v>
      </c>
      <c r="D48" s="14"/>
      <c r="E48" s="14"/>
      <c r="G48" s="17"/>
      <c r="H48" s="17"/>
      <c r="I48" s="17"/>
      <c r="J48" s="17" t="s">
        <v>46</v>
      </c>
    </row>
    <row r="49" spans="2:10" hidden="1" x14ac:dyDescent="0.25">
      <c r="B49" s="13">
        <v>45275</v>
      </c>
      <c r="C49" s="14">
        <v>70</v>
      </c>
      <c r="D49" s="14"/>
      <c r="E49" s="14"/>
      <c r="G49" s="4"/>
      <c r="H49" s="4"/>
      <c r="I49" s="4"/>
      <c r="J49" s="4"/>
    </row>
    <row r="50" spans="2:10" x14ac:dyDescent="0.25">
      <c r="B50" s="5">
        <v>45301</v>
      </c>
      <c r="C50" s="4">
        <v>70</v>
      </c>
      <c r="D50" s="4"/>
      <c r="E50" s="4"/>
      <c r="G50" s="5">
        <v>45935</v>
      </c>
      <c r="H50" s="4">
        <v>60</v>
      </c>
      <c r="I50" s="4">
        <v>0</v>
      </c>
      <c r="J50" s="4" t="s">
        <v>175</v>
      </c>
    </row>
    <row r="51" spans="2:10" x14ac:dyDescent="0.25">
      <c r="B51" s="5">
        <v>45343</v>
      </c>
      <c r="C51" s="4">
        <v>70</v>
      </c>
      <c r="D51" s="4"/>
      <c r="E51" s="4"/>
      <c r="G51" s="4"/>
      <c r="H51" s="4"/>
      <c r="I51" s="4"/>
      <c r="J51" s="4"/>
    </row>
    <row r="52" spans="2:10" x14ac:dyDescent="0.25">
      <c r="B52" s="5">
        <v>45369</v>
      </c>
      <c r="C52" s="4">
        <v>70</v>
      </c>
      <c r="D52" s="4"/>
      <c r="E52" s="4"/>
      <c r="G52" s="4"/>
      <c r="H52" s="4"/>
      <c r="I52" s="4"/>
      <c r="J52" s="4"/>
    </row>
    <row r="53" spans="2:10" x14ac:dyDescent="0.25">
      <c r="B53" s="5">
        <v>45401</v>
      </c>
      <c r="C53" s="4">
        <v>70</v>
      </c>
      <c r="D53" s="4"/>
      <c r="E53" s="4"/>
      <c r="G53" s="4"/>
      <c r="H53" s="4"/>
      <c r="I53" s="4"/>
      <c r="J53" s="4"/>
    </row>
    <row r="54" spans="2:10" x14ac:dyDescent="0.25">
      <c r="B54" s="5">
        <v>45420</v>
      </c>
      <c r="C54" s="4">
        <v>70</v>
      </c>
      <c r="D54" s="4"/>
      <c r="E54" s="4"/>
      <c r="G54" s="4"/>
      <c r="H54" s="4"/>
      <c r="I54" s="4"/>
      <c r="J54" s="4"/>
    </row>
    <row r="55" spans="2:10" x14ac:dyDescent="0.25">
      <c r="B55" s="5">
        <v>45456</v>
      </c>
      <c r="C55" s="4">
        <v>70</v>
      </c>
      <c r="D55" s="4"/>
      <c r="E55" s="4"/>
      <c r="G55" s="4"/>
      <c r="H55" s="4"/>
      <c r="I55" s="4"/>
      <c r="J55" s="4"/>
    </row>
    <row r="56" spans="2:10" x14ac:dyDescent="0.25">
      <c r="B56" s="5">
        <v>45501</v>
      </c>
      <c r="C56" s="4">
        <v>70</v>
      </c>
      <c r="D56" s="4"/>
      <c r="E56" s="4"/>
      <c r="G56" s="4"/>
      <c r="H56" s="4"/>
      <c r="I56" s="4"/>
      <c r="J56" s="4"/>
    </row>
    <row r="57" spans="2:10" x14ac:dyDescent="0.25">
      <c r="B57" s="5">
        <v>45522</v>
      </c>
      <c r="C57" s="4">
        <v>70</v>
      </c>
      <c r="D57" s="4"/>
      <c r="E57" s="4"/>
      <c r="G57" s="4"/>
      <c r="H57" s="4"/>
      <c r="I57" s="4"/>
      <c r="J57" s="4"/>
    </row>
    <row r="58" spans="2:10" x14ac:dyDescent="0.25">
      <c r="B58" s="4" t="s">
        <v>75</v>
      </c>
      <c r="C58" s="4">
        <v>0</v>
      </c>
      <c r="D58" s="4">
        <v>70</v>
      </c>
      <c r="E58" s="4"/>
      <c r="G58" s="4"/>
      <c r="H58" s="4"/>
      <c r="I58" s="4"/>
      <c r="J58" s="4"/>
    </row>
    <row r="59" spans="2:10" x14ac:dyDescent="0.25">
      <c r="B59" s="4" t="s">
        <v>77</v>
      </c>
      <c r="C59" s="4">
        <v>0</v>
      </c>
      <c r="D59" s="4">
        <v>70</v>
      </c>
      <c r="E59" s="4" t="s">
        <v>81</v>
      </c>
      <c r="G59" s="4"/>
      <c r="H59" s="4"/>
      <c r="I59" s="4"/>
      <c r="J59" s="4"/>
    </row>
    <row r="60" spans="2:10" x14ac:dyDescent="0.25">
      <c r="B60" s="5">
        <v>45611</v>
      </c>
      <c r="C60" s="4">
        <v>70</v>
      </c>
      <c r="D60" s="4"/>
      <c r="E60" s="4"/>
      <c r="G60" s="4"/>
      <c r="H60" s="4"/>
      <c r="I60" s="4"/>
      <c r="J60" s="4"/>
    </row>
    <row r="61" spans="2:10" x14ac:dyDescent="0.25">
      <c r="B61" s="5">
        <v>45640</v>
      </c>
      <c r="C61" s="4">
        <v>70</v>
      </c>
      <c r="D61" s="4">
        <v>0</v>
      </c>
      <c r="E61" s="4"/>
      <c r="G61" s="4"/>
      <c r="H61" s="4"/>
      <c r="I61" s="4"/>
      <c r="J61" s="4"/>
    </row>
    <row r="62" spans="2:10" x14ac:dyDescent="0.25">
      <c r="B62" s="5">
        <v>45667</v>
      </c>
      <c r="C62" s="4">
        <v>70</v>
      </c>
      <c r="D62" s="4"/>
      <c r="E62" s="4"/>
      <c r="G62" s="4"/>
      <c r="H62" s="4"/>
      <c r="I62" s="4"/>
      <c r="J62" s="4"/>
    </row>
    <row r="63" spans="2:10" x14ac:dyDescent="0.25">
      <c r="B63" s="4"/>
      <c r="C63" s="4"/>
      <c r="D63" s="4"/>
      <c r="E63" s="4"/>
      <c r="G63" s="4"/>
      <c r="H63" s="4"/>
      <c r="I63" s="4"/>
      <c r="J63" s="4"/>
    </row>
    <row r="64" spans="2:10" x14ac:dyDescent="0.25">
      <c r="B64" s="4"/>
      <c r="C64" s="4"/>
      <c r="D64" s="4"/>
      <c r="E64" s="4"/>
      <c r="G64" s="4"/>
      <c r="H64" s="4"/>
      <c r="I64" s="4"/>
      <c r="J64" s="4"/>
    </row>
    <row r="65" spans="2:10" x14ac:dyDescent="0.25">
      <c r="B65" s="4"/>
      <c r="C65" s="4"/>
      <c r="D65" s="4"/>
      <c r="E65" s="4"/>
      <c r="G65" s="4"/>
      <c r="H65" s="4"/>
      <c r="I65" s="4"/>
      <c r="J65" s="4"/>
    </row>
    <row r="66" spans="2:10" x14ac:dyDescent="0.25">
      <c r="B66" s="4"/>
      <c r="C66" s="4"/>
      <c r="D66" s="4"/>
      <c r="E66" s="4"/>
      <c r="G66" s="4"/>
      <c r="H66" s="4"/>
      <c r="I66" s="4"/>
      <c r="J66" s="4"/>
    </row>
    <row r="67" spans="2:10" x14ac:dyDescent="0.25">
      <c r="B67" s="4"/>
      <c r="C67" s="4"/>
      <c r="D67" s="4"/>
      <c r="E67" s="4"/>
      <c r="G67" s="4"/>
      <c r="H67" s="4"/>
      <c r="I67" s="4"/>
      <c r="J67" s="4"/>
    </row>
    <row r="68" spans="2:10" x14ac:dyDescent="0.25">
      <c r="B68" s="4"/>
      <c r="C68" s="4"/>
      <c r="D68" s="4"/>
      <c r="E68" s="4"/>
      <c r="G68" s="4"/>
      <c r="H68" s="4"/>
      <c r="I68" s="4"/>
      <c r="J68" s="4"/>
    </row>
    <row r="69" spans="2:10" x14ac:dyDescent="0.25">
      <c r="B69" s="4"/>
      <c r="C69" s="4"/>
      <c r="D69" s="4"/>
      <c r="E69" s="4"/>
      <c r="G69" s="4"/>
      <c r="H69" s="4"/>
      <c r="I69" s="4"/>
      <c r="J69" s="4"/>
    </row>
    <row r="70" spans="2:10" x14ac:dyDescent="0.25">
      <c r="B70" s="4"/>
      <c r="C70" s="4"/>
      <c r="D70" s="4"/>
      <c r="E70" s="4"/>
      <c r="G70" s="4"/>
      <c r="H70" s="4"/>
      <c r="I70" s="4"/>
      <c r="J70" s="4"/>
    </row>
    <row r="71" spans="2:10" x14ac:dyDescent="0.25">
      <c r="B71" s="4"/>
      <c r="C71" s="4"/>
      <c r="D71" s="4"/>
      <c r="E71" s="4"/>
      <c r="G71" s="4"/>
      <c r="H71" s="4"/>
      <c r="I71" s="4"/>
      <c r="J71" s="4"/>
    </row>
    <row r="72" spans="2:10" x14ac:dyDescent="0.25">
      <c r="B72" s="4"/>
      <c r="C72" s="4"/>
      <c r="D72" s="4"/>
      <c r="E72" s="4"/>
      <c r="G72" s="4"/>
      <c r="H72" s="4"/>
      <c r="I72" s="4"/>
      <c r="J72" s="4"/>
    </row>
    <row r="73" spans="2:10" x14ac:dyDescent="0.25">
      <c r="B73" s="4"/>
      <c r="C73" s="4"/>
      <c r="D73" s="4"/>
      <c r="E73" s="4"/>
      <c r="G73" s="4"/>
      <c r="H73" s="4"/>
      <c r="I73" s="4"/>
      <c r="J73" s="4"/>
    </row>
    <row r="74" spans="2:10" x14ac:dyDescent="0.25">
      <c r="B74" s="4"/>
      <c r="C74" s="4"/>
      <c r="D74" s="4"/>
      <c r="E74" s="4"/>
      <c r="G74" s="4"/>
      <c r="H74" s="4"/>
      <c r="I74" s="4"/>
      <c r="J74" s="4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F24" sqref="F24"/>
    </sheetView>
  </sheetViews>
  <sheetFormatPr baseColWidth="10" defaultRowHeight="15" x14ac:dyDescent="0.25"/>
  <cols>
    <col min="10" max="10" width="13.85546875" customWidth="1"/>
    <col min="12" max="12" width="13.140625" customWidth="1"/>
  </cols>
  <sheetData>
    <row r="1" spans="1:12" x14ac:dyDescent="0.25">
      <c r="A1" t="s">
        <v>115</v>
      </c>
      <c r="B1" t="s">
        <v>116</v>
      </c>
      <c r="C1" t="s">
        <v>117</v>
      </c>
      <c r="D1" t="s">
        <v>122</v>
      </c>
      <c r="E1" t="s">
        <v>118</v>
      </c>
      <c r="F1" t="s">
        <v>119</v>
      </c>
      <c r="G1" t="s">
        <v>120</v>
      </c>
      <c r="H1" t="s">
        <v>121</v>
      </c>
      <c r="I1" t="s">
        <v>123</v>
      </c>
      <c r="J1" t="s">
        <v>124</v>
      </c>
      <c r="K1" t="s">
        <v>125</v>
      </c>
      <c r="L1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workbookViewId="0">
      <selection activeCell="B48" sqref="B48"/>
    </sheetView>
  </sheetViews>
  <sheetFormatPr baseColWidth="10" defaultRowHeight="15" x14ac:dyDescent="0.25"/>
  <cols>
    <col min="1" max="1" width="11.140625" bestFit="1" customWidth="1"/>
    <col min="2" max="2" width="26.5703125" bestFit="1" customWidth="1"/>
    <col min="3" max="3" width="12.5703125" bestFit="1" customWidth="1"/>
    <col min="4" max="4" width="11.140625" bestFit="1" customWidth="1"/>
    <col min="5" max="5" width="22.7109375" bestFit="1" customWidth="1"/>
    <col min="6" max="6" width="21.5703125" bestFit="1" customWidth="1"/>
    <col min="7" max="7" width="11.140625" bestFit="1" customWidth="1"/>
    <col min="8" max="8" width="12.140625" bestFit="1" customWidth="1"/>
    <col min="9" max="9" width="12.5703125" bestFit="1" customWidth="1"/>
    <col min="10" max="10" width="12.140625" bestFit="1" customWidth="1"/>
    <col min="11" max="11" width="19" bestFit="1" customWidth="1"/>
    <col min="12" max="12" width="12.140625" bestFit="1" customWidth="1"/>
    <col min="13" max="13" width="24.85546875" bestFit="1" customWidth="1"/>
    <col min="14" max="14" width="13.85546875" bestFit="1" customWidth="1"/>
    <col min="15" max="15" width="12.140625" bestFit="1" customWidth="1"/>
    <col min="16" max="16" width="12.5703125" bestFit="1" customWidth="1"/>
    <col min="17" max="17" width="48.7109375" bestFit="1" customWidth="1"/>
  </cols>
  <sheetData>
    <row r="1" spans="1:17" x14ac:dyDescent="0.25">
      <c r="A1" s="43" t="s">
        <v>134</v>
      </c>
      <c r="B1" s="43" t="s">
        <v>135</v>
      </c>
      <c r="C1" s="43" t="s">
        <v>136</v>
      </c>
      <c r="D1" s="43" t="s">
        <v>137</v>
      </c>
      <c r="E1" s="43" t="s">
        <v>138</v>
      </c>
      <c r="F1" s="43" t="s">
        <v>139</v>
      </c>
      <c r="G1" s="43" t="s">
        <v>140</v>
      </c>
      <c r="H1" s="43" t="s">
        <v>141</v>
      </c>
      <c r="I1" s="43" t="s">
        <v>142</v>
      </c>
      <c r="J1" s="43" t="s">
        <v>143</v>
      </c>
      <c r="K1" s="43" t="s">
        <v>144</v>
      </c>
      <c r="L1" s="43" t="s">
        <v>145</v>
      </c>
      <c r="M1" s="43" t="s">
        <v>146</v>
      </c>
      <c r="N1" s="43" t="s">
        <v>147</v>
      </c>
      <c r="O1" s="43" t="s">
        <v>148</v>
      </c>
      <c r="P1" s="43" t="s">
        <v>149</v>
      </c>
      <c r="Q1" s="43" t="s">
        <v>150</v>
      </c>
    </row>
    <row r="2" spans="1:17" hidden="1" x14ac:dyDescent="0.25">
      <c r="A2" s="43" t="s">
        <v>111</v>
      </c>
      <c r="B2" s="43" t="s">
        <v>114</v>
      </c>
      <c r="C2" s="43"/>
      <c r="D2" s="43"/>
      <c r="E2" s="43"/>
      <c r="F2" s="43"/>
      <c r="G2" s="43" t="s">
        <v>111</v>
      </c>
      <c r="H2" s="43" t="s">
        <v>113</v>
      </c>
      <c r="I2" s="43"/>
      <c r="J2" s="43"/>
      <c r="K2" s="43"/>
      <c r="L2" s="43"/>
      <c r="M2" s="43" t="s">
        <v>111</v>
      </c>
      <c r="N2" s="43" t="s">
        <v>112</v>
      </c>
      <c r="O2" s="43"/>
      <c r="P2" s="43"/>
      <c r="Q2" s="43"/>
    </row>
    <row r="3" spans="1:17" hidden="1" x14ac:dyDescent="0.25">
      <c r="A3" s="43" t="s">
        <v>92</v>
      </c>
      <c r="B3" s="43" t="s">
        <v>106</v>
      </c>
      <c r="C3" s="43"/>
      <c r="D3" s="43" t="s">
        <v>96</v>
      </c>
      <c r="E3" s="43" t="s">
        <v>97</v>
      </c>
      <c r="F3" s="43"/>
      <c r="G3" s="43" t="s">
        <v>101</v>
      </c>
      <c r="H3" s="43" t="s">
        <v>106</v>
      </c>
      <c r="I3" s="43"/>
      <c r="J3" s="43" t="s">
        <v>96</v>
      </c>
      <c r="K3" s="43" t="s">
        <v>105</v>
      </c>
      <c r="L3" s="43"/>
      <c r="M3" s="43" t="s">
        <v>101</v>
      </c>
      <c r="N3" s="43" t="s">
        <v>106</v>
      </c>
      <c r="O3" s="43"/>
      <c r="P3" s="43" t="s">
        <v>96</v>
      </c>
      <c r="Q3" s="43" t="s">
        <v>30</v>
      </c>
    </row>
    <row r="4" spans="1:17" hidden="1" x14ac:dyDescent="0.25">
      <c r="A4" s="43" t="s">
        <v>7</v>
      </c>
      <c r="B4" s="43" t="s">
        <v>95</v>
      </c>
      <c r="C4" s="43"/>
      <c r="D4" s="43"/>
      <c r="E4" s="43"/>
      <c r="F4" s="43"/>
      <c r="G4" s="43" t="s">
        <v>7</v>
      </c>
      <c r="H4" s="43" t="s">
        <v>102</v>
      </c>
      <c r="I4" s="43"/>
      <c r="J4" s="43"/>
      <c r="K4" s="43"/>
      <c r="L4" s="43"/>
      <c r="M4" s="43" t="s">
        <v>7</v>
      </c>
      <c r="N4" s="43" t="s">
        <v>127</v>
      </c>
      <c r="O4" s="43"/>
      <c r="P4" s="43"/>
      <c r="Q4" s="43"/>
    </row>
    <row r="5" spans="1:17" hidden="1" x14ac:dyDescent="0.25">
      <c r="A5" s="43" t="s">
        <v>93</v>
      </c>
      <c r="B5" s="43" t="s">
        <v>94</v>
      </c>
      <c r="C5" s="43"/>
      <c r="D5" s="43"/>
      <c r="E5" s="43"/>
      <c r="F5" s="43"/>
      <c r="G5" s="43" t="s">
        <v>93</v>
      </c>
      <c r="H5" s="43" t="s">
        <v>103</v>
      </c>
      <c r="I5" s="43"/>
      <c r="J5" s="43"/>
      <c r="K5" s="43"/>
      <c r="L5" s="43"/>
      <c r="M5" s="43" t="s">
        <v>93</v>
      </c>
      <c r="N5" s="43"/>
      <c r="O5" s="43"/>
      <c r="P5" s="43"/>
      <c r="Q5" s="43"/>
    </row>
    <row r="6" spans="1:17" x14ac:dyDescent="0.25">
      <c r="A6" s="43" t="s">
        <v>0</v>
      </c>
      <c r="B6" s="43"/>
      <c r="C6" s="43"/>
      <c r="D6" s="43" t="s">
        <v>20</v>
      </c>
      <c r="E6" s="43">
        <v>70914404</v>
      </c>
      <c r="F6" s="43"/>
      <c r="G6" s="43" t="s">
        <v>0</v>
      </c>
      <c r="H6" s="43" t="s">
        <v>12</v>
      </c>
      <c r="I6" s="43"/>
      <c r="J6" s="43" t="s">
        <v>104</v>
      </c>
      <c r="K6" s="43">
        <v>6119134</v>
      </c>
      <c r="L6" s="43"/>
      <c r="M6" s="43" t="s">
        <v>0</v>
      </c>
      <c r="N6" s="43" t="s">
        <v>1</v>
      </c>
      <c r="O6" s="43"/>
      <c r="P6" s="43" t="s">
        <v>104</v>
      </c>
      <c r="Q6" s="43">
        <v>72895433</v>
      </c>
    </row>
    <row r="7" spans="1:17" hidden="1" x14ac:dyDescent="0.25">
      <c r="A7" s="43" t="s">
        <v>98</v>
      </c>
      <c r="B7" s="43">
        <v>0.8125</v>
      </c>
      <c r="C7" s="43" t="s">
        <v>99</v>
      </c>
      <c r="D7" s="43">
        <v>0.3125</v>
      </c>
      <c r="E7" s="43"/>
      <c r="F7" s="43"/>
      <c r="G7" s="43" t="s">
        <v>98</v>
      </c>
      <c r="H7" s="43">
        <v>0.33333333333333326</v>
      </c>
      <c r="I7" s="43" t="s">
        <v>99</v>
      </c>
      <c r="J7" s="43">
        <v>0.33333333333333326</v>
      </c>
      <c r="K7" s="43"/>
      <c r="L7" s="43"/>
      <c r="M7" s="43" t="s">
        <v>98</v>
      </c>
      <c r="N7" s="43">
        <v>0.95833333333333326</v>
      </c>
      <c r="O7" s="43" t="s">
        <v>110</v>
      </c>
      <c r="P7" s="43">
        <v>0.29166666666666674</v>
      </c>
      <c r="Q7" s="43"/>
    </row>
    <row r="8" spans="1:17" hidden="1" x14ac:dyDescent="0.25">
      <c r="A8" s="43" t="s">
        <v>3</v>
      </c>
      <c r="B8" s="43" t="s">
        <v>15</v>
      </c>
      <c r="C8" s="43" t="s">
        <v>24</v>
      </c>
      <c r="D8" s="43" t="s">
        <v>16</v>
      </c>
      <c r="E8" s="43" t="s">
        <v>17</v>
      </c>
      <c r="F8" s="43"/>
      <c r="G8" s="43" t="s">
        <v>3</v>
      </c>
      <c r="H8" s="43" t="s">
        <v>15</v>
      </c>
      <c r="I8" s="43" t="s">
        <v>24</v>
      </c>
      <c r="J8" s="43" t="s">
        <v>16</v>
      </c>
      <c r="K8" s="43" t="s">
        <v>17</v>
      </c>
      <c r="L8" s="43"/>
      <c r="M8" s="43" t="s">
        <v>3</v>
      </c>
      <c r="N8" s="43" t="s">
        <v>15</v>
      </c>
      <c r="O8" s="43" t="s">
        <v>16</v>
      </c>
      <c r="P8" s="43" t="s">
        <v>24</v>
      </c>
      <c r="Q8" s="43" t="s">
        <v>17</v>
      </c>
    </row>
    <row r="9" spans="1:17" hidden="1" x14ac:dyDescent="0.25">
      <c r="A9" s="43">
        <v>45763</v>
      </c>
      <c r="B9" s="43"/>
      <c r="C9" s="43"/>
      <c r="D9" s="43"/>
      <c r="E9" s="43" t="s">
        <v>100</v>
      </c>
      <c r="F9" s="43"/>
      <c r="G9" s="43">
        <v>45121</v>
      </c>
      <c r="H9" s="43">
        <v>50</v>
      </c>
      <c r="I9" s="43">
        <v>0</v>
      </c>
      <c r="J9" s="43">
        <v>0</v>
      </c>
      <c r="K9" s="43" t="s">
        <v>22</v>
      </c>
      <c r="L9" s="43"/>
      <c r="M9" s="43">
        <v>45086</v>
      </c>
      <c r="N9" s="43">
        <v>500</v>
      </c>
      <c r="O9" s="43">
        <v>1500</v>
      </c>
      <c r="P9" s="43">
        <v>2000</v>
      </c>
      <c r="Q9" s="43" t="s">
        <v>23</v>
      </c>
    </row>
    <row r="10" spans="1:17" hidden="1" x14ac:dyDescent="0.25">
      <c r="A10" s="43"/>
      <c r="B10" s="43"/>
      <c r="C10" s="43"/>
      <c r="D10" s="43"/>
      <c r="E10" s="43"/>
      <c r="F10" s="43"/>
      <c r="G10" s="43">
        <v>45122</v>
      </c>
      <c r="H10" s="43">
        <v>100</v>
      </c>
      <c r="I10" s="43">
        <v>0</v>
      </c>
      <c r="J10" s="43">
        <v>0</v>
      </c>
      <c r="K10" s="43" t="s">
        <v>25</v>
      </c>
      <c r="L10" s="43"/>
      <c r="M10" s="43">
        <v>45115</v>
      </c>
      <c r="N10" s="43">
        <v>300</v>
      </c>
      <c r="O10" s="43">
        <v>1200</v>
      </c>
      <c r="P10" s="43">
        <v>1500</v>
      </c>
      <c r="Q10" s="43" t="s">
        <v>33</v>
      </c>
    </row>
    <row r="11" spans="1:17" hidden="1" x14ac:dyDescent="0.25">
      <c r="A11" s="43"/>
      <c r="B11" s="43"/>
      <c r="C11" s="43"/>
      <c r="D11" s="43"/>
      <c r="E11" s="43"/>
      <c r="F11" s="43"/>
      <c r="G11" s="43">
        <v>45183</v>
      </c>
      <c r="H11" s="43">
        <v>150</v>
      </c>
      <c r="I11" s="43">
        <v>0</v>
      </c>
      <c r="J11" s="43">
        <v>0</v>
      </c>
      <c r="K11" s="43"/>
      <c r="L11" s="43"/>
      <c r="M11" s="43">
        <v>45145</v>
      </c>
      <c r="N11" s="43">
        <v>500</v>
      </c>
      <c r="O11" s="43">
        <v>700</v>
      </c>
      <c r="P11" s="43">
        <v>850</v>
      </c>
      <c r="Q11" s="43" t="s">
        <v>34</v>
      </c>
    </row>
    <row r="12" spans="1:17" hidden="1" x14ac:dyDescent="0.25">
      <c r="A12" s="43"/>
      <c r="B12" s="43"/>
      <c r="C12" s="43"/>
      <c r="D12" s="43"/>
      <c r="E12" s="43"/>
      <c r="F12" s="43"/>
      <c r="G12" s="43">
        <v>45209</v>
      </c>
      <c r="H12" s="43">
        <v>150</v>
      </c>
      <c r="I12" s="43">
        <v>0</v>
      </c>
      <c r="J12" s="43">
        <v>0</v>
      </c>
      <c r="K12" s="43"/>
      <c r="L12" s="43"/>
      <c r="M12" s="43" t="s">
        <v>29</v>
      </c>
      <c r="N12" s="43">
        <v>0</v>
      </c>
      <c r="O12" s="43">
        <v>1000</v>
      </c>
      <c r="P12" s="43">
        <v>1000</v>
      </c>
      <c r="Q12" s="43" t="s">
        <v>32</v>
      </c>
    </row>
    <row r="13" spans="1:17" hidden="1" x14ac:dyDescent="0.25">
      <c r="A13" s="43"/>
      <c r="B13" s="43"/>
      <c r="C13" s="43"/>
      <c r="D13" s="43"/>
      <c r="E13" s="43"/>
      <c r="F13" s="43"/>
      <c r="G13" s="43">
        <v>45244</v>
      </c>
      <c r="H13" s="43">
        <v>150</v>
      </c>
      <c r="I13" s="43">
        <v>0</v>
      </c>
      <c r="J13" s="43">
        <v>0</v>
      </c>
      <c r="K13" s="43"/>
      <c r="L13" s="43"/>
      <c r="M13" s="43" t="s">
        <v>31</v>
      </c>
      <c r="N13" s="43">
        <v>0</v>
      </c>
      <c r="O13" s="43">
        <v>1150</v>
      </c>
      <c r="P13" s="43">
        <v>1150</v>
      </c>
      <c r="Q13" s="43" t="s">
        <v>35</v>
      </c>
    </row>
    <row r="14" spans="1:17" hidden="1" x14ac:dyDescent="0.25">
      <c r="A14" s="43"/>
      <c r="B14" s="43"/>
      <c r="C14" s="43"/>
      <c r="D14" s="43"/>
      <c r="E14" s="43"/>
      <c r="F14" s="43"/>
      <c r="G14" s="43">
        <v>45275</v>
      </c>
      <c r="H14" s="43">
        <v>150</v>
      </c>
      <c r="I14" s="43"/>
      <c r="J14" s="43"/>
      <c r="K14" s="43"/>
      <c r="L14" s="43"/>
      <c r="M14" s="43" t="s">
        <v>39</v>
      </c>
      <c r="N14" s="43">
        <v>300</v>
      </c>
      <c r="O14" s="43">
        <v>850</v>
      </c>
      <c r="P14" s="43">
        <v>1000</v>
      </c>
      <c r="Q14" s="43" t="s">
        <v>44</v>
      </c>
    </row>
    <row r="15" spans="1:17" hidden="1" x14ac:dyDescent="0.25">
      <c r="A15" s="43"/>
      <c r="B15" s="43"/>
      <c r="C15" s="43"/>
      <c r="D15" s="43"/>
      <c r="E15" s="43"/>
      <c r="F15" s="43"/>
      <c r="G15" s="43">
        <v>45306</v>
      </c>
      <c r="H15" s="43">
        <v>150</v>
      </c>
      <c r="I15" s="43">
        <v>0</v>
      </c>
      <c r="J15" s="43">
        <v>0</v>
      </c>
      <c r="K15" s="43"/>
      <c r="L15" s="43"/>
      <c r="M15" s="43"/>
      <c r="N15" s="43">
        <v>250</v>
      </c>
      <c r="O15" s="43"/>
      <c r="P15" s="43">
        <v>750</v>
      </c>
      <c r="Q15" s="43" t="s">
        <v>45</v>
      </c>
    </row>
    <row r="16" spans="1:17" hidden="1" x14ac:dyDescent="0.25">
      <c r="A16" s="43"/>
      <c r="B16" s="43"/>
      <c r="C16" s="43"/>
      <c r="D16" s="43"/>
      <c r="E16" s="43"/>
      <c r="F16" s="43"/>
      <c r="G16" s="43">
        <v>45337</v>
      </c>
      <c r="H16" s="43">
        <v>150</v>
      </c>
      <c r="I16" s="43">
        <v>0</v>
      </c>
      <c r="J16" s="43">
        <v>0</v>
      </c>
      <c r="K16" s="43"/>
      <c r="L16" s="43"/>
      <c r="M16" s="43">
        <v>45301</v>
      </c>
      <c r="N16" s="43">
        <v>150</v>
      </c>
      <c r="O16" s="43"/>
      <c r="P16" s="43">
        <v>0</v>
      </c>
      <c r="Q16" s="43"/>
    </row>
    <row r="17" spans="1:17" hidden="1" x14ac:dyDescent="0.25">
      <c r="A17" s="43"/>
      <c r="B17" s="43"/>
      <c r="C17" s="43"/>
      <c r="D17" s="43"/>
      <c r="E17" s="43"/>
      <c r="F17" s="43"/>
      <c r="G17" s="43">
        <v>45365</v>
      </c>
      <c r="H17" s="43">
        <v>150</v>
      </c>
      <c r="I17" s="43">
        <v>0</v>
      </c>
      <c r="J17" s="43">
        <v>0</v>
      </c>
      <c r="K17" s="43"/>
      <c r="L17" s="43"/>
      <c r="M17" s="43">
        <v>45341</v>
      </c>
      <c r="N17" s="43">
        <v>150</v>
      </c>
      <c r="O17" s="43"/>
      <c r="P17" s="43">
        <v>300</v>
      </c>
      <c r="Q17" s="43" t="s">
        <v>50</v>
      </c>
    </row>
    <row r="18" spans="1:17" hidden="1" x14ac:dyDescent="0.25">
      <c r="A18" s="43"/>
      <c r="B18" s="43"/>
      <c r="C18" s="43"/>
      <c r="D18" s="43"/>
      <c r="E18" s="43"/>
      <c r="F18" s="43"/>
      <c r="G18" s="43">
        <v>45399</v>
      </c>
      <c r="H18" s="43">
        <v>150</v>
      </c>
      <c r="I18" s="43">
        <v>0</v>
      </c>
      <c r="J18" s="43">
        <v>0</v>
      </c>
      <c r="K18" s="43"/>
      <c r="L18" s="43"/>
      <c r="M18" s="43">
        <v>45366</v>
      </c>
      <c r="N18" s="43">
        <v>300</v>
      </c>
      <c r="O18" s="43">
        <v>150</v>
      </c>
      <c r="P18" s="43"/>
      <c r="Q18" s="43" t="s">
        <v>55</v>
      </c>
    </row>
    <row r="19" spans="1:17" hidden="1" x14ac:dyDescent="0.25">
      <c r="A19" s="43"/>
      <c r="B19" s="43"/>
      <c r="C19" s="43"/>
      <c r="D19" s="43"/>
      <c r="E19" s="43"/>
      <c r="F19" s="43"/>
      <c r="G19" s="43">
        <v>45429</v>
      </c>
      <c r="H19" s="43">
        <v>150</v>
      </c>
      <c r="I19" s="43"/>
      <c r="J19" s="43"/>
      <c r="K19" s="43"/>
      <c r="L19" s="43"/>
      <c r="M19" s="43" t="s">
        <v>56</v>
      </c>
      <c r="N19" s="43"/>
      <c r="O19" s="43">
        <v>150</v>
      </c>
      <c r="P19" s="43">
        <v>300</v>
      </c>
      <c r="Q19" s="43" t="s">
        <v>57</v>
      </c>
    </row>
    <row r="20" spans="1:17" hidden="1" x14ac:dyDescent="0.25">
      <c r="A20" s="43"/>
      <c r="B20" s="43"/>
      <c r="C20" s="43"/>
      <c r="D20" s="43"/>
      <c r="E20" s="43"/>
      <c r="F20" s="43"/>
      <c r="G20" s="43">
        <v>45454</v>
      </c>
      <c r="H20" s="43">
        <v>150</v>
      </c>
      <c r="I20" s="43"/>
      <c r="J20" s="43"/>
      <c r="K20" s="43" t="s">
        <v>70</v>
      </c>
      <c r="L20" s="43"/>
      <c r="M20" s="43" t="s">
        <v>61</v>
      </c>
      <c r="N20" s="43"/>
      <c r="O20" s="43">
        <v>150</v>
      </c>
      <c r="P20" s="43">
        <v>450</v>
      </c>
      <c r="Q20" s="43" t="s">
        <v>71</v>
      </c>
    </row>
    <row r="21" spans="1:17" hidden="1" x14ac:dyDescent="0.25">
      <c r="A21" s="43"/>
      <c r="B21" s="43"/>
      <c r="C21" s="43"/>
      <c r="D21" s="43"/>
      <c r="E21" s="43"/>
      <c r="F21" s="43"/>
      <c r="G21" s="43">
        <v>45514</v>
      </c>
      <c r="H21" s="43">
        <v>150</v>
      </c>
      <c r="I21" s="43"/>
      <c r="J21" s="43"/>
      <c r="K21" s="43"/>
      <c r="L21" s="43"/>
      <c r="M21" s="43" t="s">
        <v>62</v>
      </c>
      <c r="N21" s="43"/>
      <c r="O21" s="43">
        <v>150</v>
      </c>
      <c r="P21" s="43">
        <v>600</v>
      </c>
      <c r="Q21" s="43" t="s">
        <v>71</v>
      </c>
    </row>
    <row r="22" spans="1:17" hidden="1" x14ac:dyDescent="0.25">
      <c r="A22" s="43"/>
      <c r="B22" s="43"/>
      <c r="C22" s="43"/>
      <c r="D22" s="43"/>
      <c r="E22" s="43"/>
      <c r="F22" s="43"/>
      <c r="G22" s="43">
        <v>45545</v>
      </c>
      <c r="H22" s="43">
        <v>150</v>
      </c>
      <c r="I22" s="43"/>
      <c r="J22" s="43"/>
      <c r="K22" s="43"/>
      <c r="L22" s="43"/>
      <c r="M22" s="43" t="s">
        <v>63</v>
      </c>
      <c r="N22" s="43"/>
      <c r="O22" s="43"/>
      <c r="P22" s="43">
        <v>600</v>
      </c>
      <c r="Q22" s="43" t="s">
        <v>72</v>
      </c>
    </row>
    <row r="23" spans="1:17" hidden="1" x14ac:dyDescent="0.25">
      <c r="A23" s="43"/>
      <c r="B23" s="43"/>
      <c r="C23" s="43"/>
      <c r="D23" s="43"/>
      <c r="E23" s="43"/>
      <c r="F23" s="43"/>
      <c r="G23" s="43">
        <v>45575</v>
      </c>
      <c r="H23" s="43">
        <v>150</v>
      </c>
      <c r="I23" s="43"/>
      <c r="J23" s="43"/>
      <c r="K23" s="43"/>
      <c r="L23" s="43"/>
      <c r="M23" s="43" t="s">
        <v>63</v>
      </c>
      <c r="N23" s="43">
        <v>150</v>
      </c>
      <c r="O23" s="43">
        <v>450</v>
      </c>
      <c r="P23" s="43">
        <v>450</v>
      </c>
      <c r="Q23" s="43" t="s">
        <v>64</v>
      </c>
    </row>
    <row r="24" spans="1:17" hidden="1" x14ac:dyDescent="0.25">
      <c r="A24" s="43"/>
      <c r="B24" s="43"/>
      <c r="C24" s="43"/>
      <c r="D24" s="43"/>
      <c r="E24" s="43"/>
      <c r="F24" s="43"/>
      <c r="G24" s="43">
        <v>45606</v>
      </c>
      <c r="H24" s="43">
        <v>150</v>
      </c>
      <c r="I24" s="43"/>
      <c r="J24" s="43"/>
      <c r="K24" s="43"/>
      <c r="L24" s="43"/>
      <c r="M24" s="43" t="s">
        <v>29</v>
      </c>
      <c r="N24" s="43">
        <v>200</v>
      </c>
      <c r="O24" s="43">
        <v>250</v>
      </c>
      <c r="P24" s="43">
        <v>250</v>
      </c>
      <c r="Q24" s="43" t="s">
        <v>73</v>
      </c>
    </row>
    <row r="25" spans="1:17" hidden="1" x14ac:dyDescent="0.25">
      <c r="A25" s="43"/>
      <c r="B25" s="43"/>
      <c r="C25" s="43"/>
      <c r="D25" s="43"/>
      <c r="E25" s="43"/>
      <c r="F25" s="43"/>
      <c r="G25" s="43">
        <v>45641</v>
      </c>
      <c r="H25" s="43">
        <v>150</v>
      </c>
      <c r="I25" s="43"/>
      <c r="J25" s="43"/>
      <c r="K25" s="43"/>
      <c r="L25" s="43"/>
      <c r="M25" s="43" t="s">
        <v>3</v>
      </c>
      <c r="N25" s="43" t="s">
        <v>15</v>
      </c>
      <c r="O25" s="43" t="s">
        <v>16</v>
      </c>
      <c r="P25" s="43" t="s">
        <v>24</v>
      </c>
      <c r="Q25" s="43" t="s">
        <v>17</v>
      </c>
    </row>
    <row r="26" spans="1:17" hidden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>
        <v>2024</v>
      </c>
      <c r="N26" s="43"/>
      <c r="O26" s="43"/>
      <c r="P26" s="43"/>
      <c r="Q26" s="43"/>
    </row>
    <row r="27" spans="1:17" hidden="1" x14ac:dyDescent="0.25">
      <c r="A27" s="43"/>
      <c r="B27" s="43"/>
      <c r="C27" s="43"/>
      <c r="D27" s="43"/>
      <c r="E27" s="43"/>
      <c r="F27" s="43"/>
      <c r="G27" s="43">
        <v>45675</v>
      </c>
      <c r="H27" s="43">
        <v>150</v>
      </c>
      <c r="I27" s="43"/>
      <c r="J27" s="43"/>
      <c r="K27" s="43"/>
      <c r="L27" s="43"/>
      <c r="M27" s="43" t="s">
        <v>56</v>
      </c>
      <c r="N27" s="43"/>
      <c r="O27" s="43">
        <v>150</v>
      </c>
      <c r="P27" s="43">
        <v>300</v>
      </c>
      <c r="Q27" s="43" t="s">
        <v>57</v>
      </c>
    </row>
    <row r="28" spans="1:17" hidden="1" x14ac:dyDescent="0.25">
      <c r="A28" s="43"/>
      <c r="B28" s="43"/>
      <c r="C28" s="43"/>
      <c r="D28" s="43"/>
      <c r="E28" s="43"/>
      <c r="F28" s="43"/>
      <c r="G28" s="43">
        <v>45701</v>
      </c>
      <c r="H28" s="43">
        <v>150</v>
      </c>
      <c r="I28" s="43"/>
      <c r="J28" s="43"/>
      <c r="K28" s="43"/>
      <c r="L28" s="43"/>
      <c r="M28" s="43" t="s">
        <v>61</v>
      </c>
      <c r="N28" s="43"/>
      <c r="O28" s="43">
        <v>150</v>
      </c>
      <c r="P28" s="43">
        <v>450</v>
      </c>
      <c r="Q28" s="43" t="s">
        <v>71</v>
      </c>
    </row>
    <row r="29" spans="1:17" hidden="1" x14ac:dyDescent="0.25">
      <c r="A29" s="43"/>
      <c r="B29" s="43"/>
      <c r="C29" s="43"/>
      <c r="D29" s="43"/>
      <c r="E29" s="43"/>
      <c r="F29" s="43"/>
      <c r="G29" s="43">
        <v>45726</v>
      </c>
      <c r="H29" s="43">
        <v>150</v>
      </c>
      <c r="I29" s="43"/>
      <c r="J29" s="43"/>
      <c r="K29" s="43"/>
      <c r="L29" s="43"/>
      <c r="M29" s="43" t="s">
        <v>62</v>
      </c>
      <c r="N29" s="43"/>
      <c r="O29" s="43">
        <v>150</v>
      </c>
      <c r="P29" s="43">
        <v>600</v>
      </c>
      <c r="Q29" s="43" t="s">
        <v>71</v>
      </c>
    </row>
    <row r="30" spans="1:17" hidden="1" x14ac:dyDescent="0.25">
      <c r="A30" s="43"/>
      <c r="B30" s="43"/>
      <c r="C30" s="43"/>
      <c r="D30" s="43"/>
      <c r="E30" s="43"/>
      <c r="F30" s="43"/>
      <c r="G30" s="43">
        <v>45762</v>
      </c>
      <c r="H30" s="43">
        <v>150</v>
      </c>
      <c r="I30" s="43"/>
      <c r="J30" s="43"/>
      <c r="K30" s="43"/>
      <c r="L30" s="43"/>
      <c r="M30" s="43" t="s">
        <v>63</v>
      </c>
      <c r="N30" s="43"/>
      <c r="O30" s="43"/>
      <c r="P30" s="43">
        <v>600</v>
      </c>
      <c r="Q30" s="43" t="s">
        <v>72</v>
      </c>
    </row>
    <row r="31" spans="1:17" hidden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 t="s">
        <v>63</v>
      </c>
      <c r="N31" s="43">
        <v>150</v>
      </c>
      <c r="O31" s="43">
        <v>450</v>
      </c>
      <c r="P31" s="43">
        <v>450</v>
      </c>
      <c r="Q31" s="43" t="s">
        <v>64</v>
      </c>
    </row>
    <row r="32" spans="1:17" hidden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 t="s">
        <v>29</v>
      </c>
      <c r="N32" s="43">
        <v>200</v>
      </c>
      <c r="O32" s="43">
        <v>250</v>
      </c>
      <c r="P32" s="43">
        <v>250</v>
      </c>
      <c r="Q32" s="43" t="s">
        <v>73</v>
      </c>
    </row>
    <row r="33" spans="1:17" hidden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 t="s">
        <v>31</v>
      </c>
      <c r="N33" s="43">
        <v>0</v>
      </c>
      <c r="O33" s="43">
        <v>250</v>
      </c>
      <c r="P33" s="43">
        <v>400</v>
      </c>
      <c r="Q33" s="43" t="s">
        <v>79</v>
      </c>
    </row>
    <row r="34" spans="1:17" hidden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 t="s">
        <v>39</v>
      </c>
      <c r="N34" s="43">
        <v>0</v>
      </c>
      <c r="O34" s="43">
        <v>400</v>
      </c>
      <c r="P34" s="43">
        <v>550</v>
      </c>
      <c r="Q34" s="43"/>
    </row>
    <row r="35" spans="1:17" hidden="1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 t="s">
        <v>80</v>
      </c>
      <c r="N35" s="43">
        <v>0</v>
      </c>
      <c r="O35" s="43">
        <v>550</v>
      </c>
      <c r="P35" s="43">
        <v>700</v>
      </c>
      <c r="Q35" s="43" t="s">
        <v>82</v>
      </c>
    </row>
    <row r="36" spans="1:17" hidden="1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 t="s">
        <v>83</v>
      </c>
      <c r="N36" s="43">
        <v>700</v>
      </c>
      <c r="O36" s="43">
        <v>150</v>
      </c>
      <c r="P36" s="43">
        <v>850</v>
      </c>
      <c r="Q36" s="43" t="s">
        <v>71</v>
      </c>
    </row>
    <row r="37" spans="1:17" hidden="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 t="s">
        <v>90</v>
      </c>
      <c r="N37" s="43"/>
      <c r="O37" s="43"/>
      <c r="P37" s="43"/>
      <c r="Q37" s="43"/>
    </row>
    <row r="38" spans="1:17" hidden="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 t="s">
        <v>84</v>
      </c>
      <c r="N38" s="43" t="s">
        <v>85</v>
      </c>
      <c r="O38" s="43" t="s">
        <v>86</v>
      </c>
      <c r="P38" s="43" t="s">
        <v>16</v>
      </c>
      <c r="Q38" s="43" t="s">
        <v>17</v>
      </c>
    </row>
    <row r="39" spans="1:17" hidden="1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 t="s">
        <v>53</v>
      </c>
      <c r="N39" s="43">
        <v>0</v>
      </c>
      <c r="O39" s="43">
        <v>150</v>
      </c>
      <c r="P39" s="43">
        <v>1000</v>
      </c>
      <c r="Q39" s="43" t="s">
        <v>88</v>
      </c>
    </row>
    <row r="40" spans="1:17" hidden="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 t="s">
        <v>52</v>
      </c>
      <c r="N40" s="43">
        <v>0</v>
      </c>
      <c r="O40" s="43">
        <v>150</v>
      </c>
      <c r="P40" s="43">
        <v>1150</v>
      </c>
      <c r="Q40" s="43" t="s">
        <v>89</v>
      </c>
    </row>
    <row r="41" spans="1:17" hidden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 t="s">
        <v>58</v>
      </c>
      <c r="N41" s="43">
        <v>400</v>
      </c>
      <c r="O41" s="43">
        <v>150</v>
      </c>
      <c r="P41" s="43">
        <v>900</v>
      </c>
      <c r="Q41" s="43" t="s">
        <v>87</v>
      </c>
    </row>
    <row r="42" spans="1:17" hidden="1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 t="s">
        <v>59</v>
      </c>
      <c r="N42" s="43">
        <v>300</v>
      </c>
      <c r="O42" s="43">
        <v>150</v>
      </c>
      <c r="P42" s="43">
        <v>550</v>
      </c>
      <c r="Q42" s="43" t="s">
        <v>91</v>
      </c>
    </row>
    <row r="43" spans="1:17" hidden="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>
        <v>45784</v>
      </c>
      <c r="N43" s="43">
        <v>500</v>
      </c>
      <c r="O43" s="43">
        <v>150</v>
      </c>
      <c r="P43" s="43">
        <v>50</v>
      </c>
      <c r="Q43" s="43" t="s">
        <v>131</v>
      </c>
    </row>
    <row r="44" spans="1:17" hidden="1" x14ac:dyDescent="0.25">
      <c r="A44" s="43" t="s">
        <v>111</v>
      </c>
      <c r="B44" s="43">
        <v>119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spans="1:17" hidden="1" x14ac:dyDescent="0.25">
      <c r="A45" s="43" t="s">
        <v>92</v>
      </c>
      <c r="B45" s="43" t="s">
        <v>106</v>
      </c>
      <c r="C45" s="43"/>
      <c r="D45" s="43" t="s">
        <v>96</v>
      </c>
      <c r="E45" s="43"/>
      <c r="F45" s="43" t="s">
        <v>109</v>
      </c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</row>
    <row r="46" spans="1:17" hidden="1" x14ac:dyDescent="0.25">
      <c r="A46" s="43" t="s">
        <v>7</v>
      </c>
      <c r="B46" s="43" t="s">
        <v>128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</row>
    <row r="47" spans="1:17" hidden="1" x14ac:dyDescent="0.25">
      <c r="A47" s="43" t="s">
        <v>93</v>
      </c>
      <c r="B47" s="43" t="s">
        <v>107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</row>
    <row r="48" spans="1:17" x14ac:dyDescent="0.25">
      <c r="A48" s="43" t="s">
        <v>0</v>
      </c>
      <c r="B48" s="43" t="s">
        <v>126</v>
      </c>
      <c r="C48" s="43"/>
      <c r="D48" s="43" t="s">
        <v>20</v>
      </c>
      <c r="E48" s="43">
        <v>73428008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</row>
    <row r="49" spans="1:17" hidden="1" x14ac:dyDescent="0.25">
      <c r="A49" s="43" t="s">
        <v>98</v>
      </c>
      <c r="B49" s="43">
        <v>0.33333333333333326</v>
      </c>
      <c r="C49" s="43" t="s">
        <v>99</v>
      </c>
      <c r="D49" s="43">
        <v>0.25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</row>
    <row r="50" spans="1:17" hidden="1" x14ac:dyDescent="0.25">
      <c r="A50" s="43" t="s">
        <v>3</v>
      </c>
      <c r="B50" s="43" t="s">
        <v>15</v>
      </c>
      <c r="C50" s="43" t="s">
        <v>24</v>
      </c>
      <c r="D50" s="43" t="s">
        <v>16</v>
      </c>
      <c r="E50" s="43" t="s">
        <v>17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</row>
    <row r="51" spans="1:17" hidden="1" x14ac:dyDescent="0.25">
      <c r="A51" s="43">
        <v>45746</v>
      </c>
      <c r="B51" s="43"/>
      <c r="C51" s="43"/>
      <c r="D51" s="43"/>
      <c r="E51" s="43" t="s">
        <v>108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</row>
    <row r="52" spans="1:17" hidden="1" x14ac:dyDescent="0.25">
      <c r="A52" s="43">
        <v>45778</v>
      </c>
      <c r="B52" s="43">
        <v>150</v>
      </c>
      <c r="C52" s="43">
        <v>0</v>
      </c>
      <c r="D52" s="43">
        <v>0</v>
      </c>
      <c r="E52" s="43" t="s">
        <v>130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</row>
    <row r="53" spans="1:17" hidden="1" x14ac:dyDescent="0.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</row>
    <row r="54" spans="1:17" hidden="1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</row>
    <row r="55" spans="1:17" hidden="1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idden="1" x14ac:dyDescent="0.2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</row>
    <row r="57" spans="1:17" hidden="1" x14ac:dyDescent="0.2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</row>
    <row r="58" spans="1:17" hidden="1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</row>
    <row r="59" spans="1:17" hidden="1" x14ac:dyDescent="0.2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</row>
    <row r="60" spans="1:17" hidden="1" x14ac:dyDescent="0.2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</row>
    <row r="61" spans="1:17" hidden="1" x14ac:dyDescent="0.2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2" spans="1:17" hidden="1" x14ac:dyDescent="0.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</row>
    <row r="63" spans="1:17" hidden="1" x14ac:dyDescent="0.2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</row>
    <row r="64" spans="1:17" hidden="1" x14ac:dyDescent="0.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</row>
    <row r="65" spans="1:17" hidden="1" x14ac:dyDescent="0.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</row>
    <row r="66" spans="1:17" hidden="1" x14ac:dyDescent="0.2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</row>
    <row r="67" spans="1:17" hidden="1" x14ac:dyDescent="0.2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</row>
    <row r="68" spans="1:17" hidden="1" x14ac:dyDescent="0.2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</row>
    <row r="69" spans="1:17" hidden="1" x14ac:dyDescent="0.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</row>
    <row r="70" spans="1:17" hidden="1" x14ac:dyDescent="0.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</row>
    <row r="71" spans="1:17" hidden="1" x14ac:dyDescent="0.2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</row>
    <row r="72" spans="1:17" hidden="1" x14ac:dyDescent="0.2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</row>
    <row r="73" spans="1:17" hidden="1" x14ac:dyDescent="0.2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</row>
    <row r="74" spans="1:17" hidden="1" x14ac:dyDescent="0.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hidden="1" x14ac:dyDescent="0.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</row>
    <row r="76" spans="1:17" hidden="1" x14ac:dyDescent="0.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</row>
    <row r="77" spans="1:17" hidden="1" x14ac:dyDescent="0.2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</row>
    <row r="78" spans="1:17" hidden="1" x14ac:dyDescent="0.2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</row>
    <row r="79" spans="1:17" hidden="1" x14ac:dyDescent="0.2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</row>
    <row r="80" spans="1:17" hidden="1" x14ac:dyDescent="0.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</row>
    <row r="81" spans="1:17" hidden="1" x14ac:dyDescent="0.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</row>
    <row r="82" spans="1:17" hidden="1" x14ac:dyDescent="0.2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B0B586-F1E0-4141-9D12-09B61A70C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Vehiculos</vt:lpstr>
      <vt:lpstr>REGISTROPAGOS</vt:lpstr>
      <vt:lpstr>REGISTROPAGOS 2025</vt:lpstr>
      <vt:lpstr>DETALLE</vt:lpstr>
      <vt:lpstr>motos</vt:lpstr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Hebner</dc:creator>
  <cp:lastModifiedBy>hebner olmos</cp:lastModifiedBy>
  <dcterms:created xsi:type="dcterms:W3CDTF">2023-08-03T13:30:31Z</dcterms:created>
  <dcterms:modified xsi:type="dcterms:W3CDTF">2026-07-12T22:48:40Z</dcterms:modified>
</cp:coreProperties>
</file>